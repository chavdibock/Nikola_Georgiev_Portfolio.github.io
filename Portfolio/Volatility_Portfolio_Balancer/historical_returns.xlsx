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IPM_Stocks\"/>
    </mc:Choice>
  </mc:AlternateContent>
  <bookViews>
    <workbookView xWindow="240" yWindow="12" windowWidth="16092" windowHeight="9660" activeTab="11"/>
  </bookViews>
  <sheets>
    <sheet name="AAPL" sheetId="1" r:id="rId1"/>
    <sheet name="GOOGL" sheetId="2" r:id="rId2"/>
    <sheet name="AVGO" sheetId="3" r:id="rId3"/>
    <sheet name="NVDA" sheetId="4" r:id="rId4"/>
    <sheet name="PLTR" sheetId="5" r:id="rId5"/>
    <sheet name="AMZN" sheetId="6" r:id="rId6"/>
    <sheet name="TSLA" sheetId="7" r:id="rId7"/>
    <sheet name="ORCL" sheetId="8" r:id="rId8"/>
    <sheet name="CELC" sheetId="9" r:id="rId9"/>
    <sheet name="MU" sheetId="10" r:id="rId10"/>
    <sheet name="AMD" sheetId="11" r:id="rId11"/>
    <sheet name="SPY" sheetId="12" r:id="rId12"/>
    <sheet name="Portfolio" sheetId="13" r:id="rId13"/>
  </sheets>
  <definedNames>
    <definedName name="Portfolio_Performance___Nikola_Georgiev" localSheetId="12">Portfolio!$A$42:$F$52</definedName>
  </definedNames>
  <calcPr calcId="162913"/>
</workbook>
</file>

<file path=xl/calcChain.xml><?xml version="1.0" encoding="utf-8"?>
<calcChain xmlns="http://schemas.openxmlformats.org/spreadsheetml/2006/main">
  <c r="P7" i="13" l="1"/>
  <c r="P8" i="13"/>
  <c r="P6" i="13"/>
  <c r="H5" i="12"/>
  <c r="H4" i="12"/>
  <c r="H3" i="12"/>
  <c r="I48" i="13"/>
  <c r="I50" i="13"/>
  <c r="I52" i="13"/>
  <c r="G43" i="13"/>
  <c r="I43" i="13" s="1"/>
  <c r="G44" i="13"/>
  <c r="I44" i="13" s="1"/>
  <c r="G45" i="13"/>
  <c r="I45" i="13" s="1"/>
  <c r="G46" i="13"/>
  <c r="I46" i="13" s="1"/>
  <c r="G47" i="13"/>
  <c r="I47" i="13" s="1"/>
  <c r="G48" i="13"/>
  <c r="G49" i="13"/>
  <c r="I49" i="13" s="1"/>
  <c r="G50" i="13"/>
  <c r="G51" i="13"/>
  <c r="I51" i="13" s="1"/>
  <c r="I12" i="13"/>
  <c r="I13" i="13"/>
  <c r="I14" i="13"/>
  <c r="I22" i="13"/>
  <c r="I26" i="13"/>
  <c r="I32" i="13"/>
  <c r="G5" i="13"/>
  <c r="I5" i="13" s="1"/>
  <c r="G6" i="13"/>
  <c r="I6" i="13" s="1"/>
  <c r="G7" i="13"/>
  <c r="I7" i="13" s="1"/>
  <c r="G8" i="13"/>
  <c r="I8" i="13" s="1"/>
  <c r="G9" i="13"/>
  <c r="I9" i="13" s="1"/>
  <c r="G10" i="13"/>
  <c r="I10" i="13" s="1"/>
  <c r="G11" i="13"/>
  <c r="I11" i="13" s="1"/>
  <c r="G12" i="13"/>
  <c r="G13" i="13"/>
  <c r="G14" i="13"/>
  <c r="G15" i="13"/>
  <c r="I15" i="13" s="1"/>
  <c r="G16" i="13"/>
  <c r="I16" i="13" s="1"/>
  <c r="G17" i="13"/>
  <c r="I17" i="13" s="1"/>
  <c r="G18" i="13"/>
  <c r="I18" i="13" s="1"/>
  <c r="G19" i="13"/>
  <c r="I19" i="13" s="1"/>
  <c r="G20" i="13"/>
  <c r="I20" i="13" s="1"/>
  <c r="G21" i="13"/>
  <c r="I21" i="13" s="1"/>
  <c r="G22" i="13"/>
  <c r="G23" i="13"/>
  <c r="I23" i="13" s="1"/>
  <c r="G24" i="13"/>
  <c r="I24" i="13" s="1"/>
  <c r="G25" i="13"/>
  <c r="I25" i="13" s="1"/>
  <c r="G26" i="13"/>
  <c r="G27" i="13"/>
  <c r="I27" i="13" s="1"/>
  <c r="G28" i="13"/>
  <c r="I28" i="13" s="1"/>
  <c r="G29" i="13"/>
  <c r="I29" i="13" s="1"/>
  <c r="G30" i="13"/>
  <c r="I30" i="13" s="1"/>
  <c r="G31" i="13"/>
  <c r="I31" i="13" s="1"/>
  <c r="N7" i="13" l="1"/>
  <c r="N6" i="13"/>
  <c r="L7" i="13"/>
  <c r="L6" i="13"/>
  <c r="L8" i="13" l="1"/>
  <c r="N8" i="13"/>
</calcChain>
</file>

<file path=xl/connections.xml><?xml version="1.0" encoding="utf-8"?>
<connections xmlns="http://schemas.openxmlformats.org/spreadsheetml/2006/main">
  <connection id="1" name="Portfolio Performance - Nikola Georgiev" type="6" refreshedVersion="6" background="1" saveData="1">
    <textPr codePage="866" sourceFile="D:\Users\User\Downloads\Portfolio Performance - Nikola Georgiev.csv" thousands=" 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<sst xmlns="http://schemas.openxmlformats.org/spreadsheetml/2006/main" count="220" uniqueCount="59">
  <si>
    <t>Price</t>
  </si>
  <si>
    <t>Log_Return</t>
  </si>
  <si>
    <t>RF_Daily</t>
  </si>
  <si>
    <t>Excess_Return</t>
  </si>
  <si>
    <t>Date</t>
  </si>
  <si>
    <t>Variance of log returns</t>
  </si>
  <si>
    <t>Total return (period)</t>
  </si>
  <si>
    <t>Sharp Ratio</t>
  </si>
  <si>
    <t>Rank</t>
  </si>
  <si>
    <t>Cash</t>
  </si>
  <si>
    <t>Cash Interest</t>
  </si>
  <si>
    <t>Net Worth</t>
  </si>
  <si>
    <t>% Return</t>
  </si>
  <si>
    <t>11/13/25</t>
  </si>
  <si>
    <t>$6,478.99</t>
  </si>
  <si>
    <t>$0.00</t>
  </si>
  <si>
    <t>$92,552.41</t>
  </si>
  <si>
    <t>$94,221.60</t>
  </si>
  <si>
    <t>$97,526.42</t>
  </si>
  <si>
    <t>$97,921.87</t>
  </si>
  <si>
    <t>$100,000.00</t>
  </si>
  <si>
    <t>10/31/25</t>
  </si>
  <si>
    <t>10/30/25</t>
  </si>
  <si>
    <t>10/29/25</t>
  </si>
  <si>
    <t>10/28/25</t>
  </si>
  <si>
    <t>10/27/25</t>
  </si>
  <si>
    <t>10/26/25</t>
  </si>
  <si>
    <t>10/25/25</t>
  </si>
  <si>
    <t>10/24/25</t>
  </si>
  <si>
    <t>10/23/25</t>
  </si>
  <si>
    <t>10/22/25</t>
  </si>
  <si>
    <t>10/21/25</t>
  </si>
  <si>
    <t>10/20/25</t>
  </si>
  <si>
    <t>10/19/25</t>
  </si>
  <si>
    <t>10/18/25</t>
  </si>
  <si>
    <t>10/17/25</t>
  </si>
  <si>
    <t>Dayli return</t>
  </si>
  <si>
    <t>RF Dayily</t>
  </si>
  <si>
    <t>Std</t>
  </si>
  <si>
    <t>Sharp ratio</t>
  </si>
  <si>
    <t>Session 1</t>
  </si>
  <si>
    <t>Mean of Dayli returns</t>
  </si>
  <si>
    <t>###</t>
  </si>
  <si>
    <t>11/27/25</t>
  </si>
  <si>
    <t>$101,759.93</t>
  </si>
  <si>
    <t>11/26/25</t>
  </si>
  <si>
    <t>11/25/25</t>
  </si>
  <si>
    <t>11/24/25</t>
  </si>
  <si>
    <t>$103,469.56</t>
  </si>
  <si>
    <t>11/23/25</t>
  </si>
  <si>
    <t>11/22/25</t>
  </si>
  <si>
    <t>11/21/25</t>
  </si>
  <si>
    <t>11/20/25</t>
  </si>
  <si>
    <t>$103,597.24</t>
  </si>
  <si>
    <t>11/19/25</t>
  </si>
  <si>
    <t>11/18/25</t>
  </si>
  <si>
    <t>Session 2</t>
  </si>
  <si>
    <t>Average eaccess returns</t>
  </si>
  <si>
    <t>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</si>
</sst>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yyyy\-mm\-dd\ hh:mm:ss"/>
    <numFmt numFmtId="168" formatCode="_-* #,##0.000000_-;\-* #,##0.000000_-;_-* &quot;-&quot;??_-;_-@_-"/>
    <numFmt numFmtId="176" formatCode="#,##0.0\ &quot;$&quot;"/>
    <numFmt numFmtId="177" formatCode="0.00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43" fontId="0" fillId="0" borderId="0" xfId="1" applyFont="1"/>
    <xf numFmtId="168" fontId="0" fillId="0" borderId="0" xfId="1" applyNumberFormat="1" applyFont="1"/>
    <xf numFmtId="0" fontId="4" fillId="0" borderId="0" xfId="0" applyFont="1"/>
    <xf numFmtId="10" fontId="4" fillId="0" borderId="0" xfId="0" applyNumberFormat="1" applyFont="1"/>
    <xf numFmtId="14" fontId="4" fillId="0" borderId="0" xfId="0" applyNumberFormat="1" applyFont="1"/>
    <xf numFmtId="176" fontId="4" fillId="0" borderId="0" xfId="1" applyNumberFormat="1" applyFont="1"/>
    <xf numFmtId="177" fontId="0" fillId="0" borderId="0" xfId="2" applyNumberFormat="1" applyFont="1"/>
    <xf numFmtId="0" fontId="5" fillId="0" borderId="0" xfId="0" applyFont="1" applyAlignment="1">
      <alignment horizontal="center" vertical="center"/>
    </xf>
    <xf numFmtId="0" fontId="3" fillId="0" borderId="0" xfId="0" applyFont="1"/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177" fontId="0" fillId="0" borderId="1" xfId="2" applyNumberFormat="1" applyFont="1" applyBorder="1"/>
    <xf numFmtId="0" fontId="3" fillId="0" borderId="1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ortfolio Performance - Nikola Georgiev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45950</v>
      </c>
      <c r="B2">
        <v>261.98602294921881</v>
      </c>
      <c r="C2">
        <v>3.8680915868748153E-2</v>
      </c>
      <c r="D2">
        <v>1.4329365079365081E-4</v>
      </c>
      <c r="E2">
        <v>3.8537622217954502E-2</v>
      </c>
    </row>
    <row r="3" spans="1:5" x14ac:dyDescent="0.3">
      <c r="A3" s="2">
        <v>45951</v>
      </c>
      <c r="B3">
        <v>262.5155029296875</v>
      </c>
      <c r="C3">
        <v>2.018984251537962E-3</v>
      </c>
      <c r="D3">
        <v>1.4329365079365081E-4</v>
      </c>
      <c r="E3">
        <v>1.875690600744311E-3</v>
      </c>
    </row>
    <row r="4" spans="1:5" x14ac:dyDescent="0.3">
      <c r="A4" s="2">
        <v>45952</v>
      </c>
      <c r="B4">
        <v>258.19970703125</v>
      </c>
      <c r="C4">
        <v>-1.6576795313851589E-2</v>
      </c>
      <c r="D4">
        <v>1.4329365079365081E-4</v>
      </c>
      <c r="E4">
        <v>-1.672008896464524E-2</v>
      </c>
    </row>
    <row r="5" spans="1:5" x14ac:dyDescent="0.3">
      <c r="A5" s="2">
        <v>45953</v>
      </c>
      <c r="B5">
        <v>259.32858276367188</v>
      </c>
      <c r="C5">
        <v>4.3625731967996571E-3</v>
      </c>
      <c r="D5">
        <v>1.4329365079365081E-4</v>
      </c>
      <c r="E5">
        <v>4.2192795460060063E-3</v>
      </c>
    </row>
    <row r="6" spans="1:5" x14ac:dyDescent="0.3">
      <c r="A6" s="2">
        <v>45954</v>
      </c>
      <c r="B6">
        <v>262.56549072265619</v>
      </c>
      <c r="C6">
        <v>1.2404622431380781E-2</v>
      </c>
      <c r="D6">
        <v>1.4329365079365081E-4</v>
      </c>
      <c r="E6">
        <v>1.2261328780587119E-2</v>
      </c>
    </row>
    <row r="7" spans="1:5" x14ac:dyDescent="0.3">
      <c r="A7" s="2">
        <v>45957</v>
      </c>
      <c r="B7">
        <v>268.54965209960938</v>
      </c>
      <c r="C7">
        <v>2.2535281491603731E-2</v>
      </c>
      <c r="D7">
        <v>1.4329365079365081E-4</v>
      </c>
      <c r="E7">
        <v>2.239198784081008E-2</v>
      </c>
    </row>
    <row r="8" spans="1:5" x14ac:dyDescent="0.3">
      <c r="A8" s="2">
        <v>45958</v>
      </c>
      <c r="B8">
        <v>268.73947143554688</v>
      </c>
      <c r="C8">
        <v>7.0658174722014065E-4</v>
      </c>
      <c r="D8">
        <v>1.4329365079365081E-4</v>
      </c>
      <c r="E8">
        <v>5.6328809642648984E-4</v>
      </c>
    </row>
    <row r="9" spans="1:5" x14ac:dyDescent="0.3">
      <c r="A9" s="2">
        <v>45959</v>
      </c>
      <c r="B9">
        <v>269.43881225585938</v>
      </c>
      <c r="C9">
        <v>2.5989202282576652E-3</v>
      </c>
      <c r="D9">
        <v>1.4329365079365081E-4</v>
      </c>
      <c r="E9">
        <v>2.4556265774640139E-3</v>
      </c>
    </row>
    <row r="10" spans="1:5" x14ac:dyDescent="0.3">
      <c r="A10" s="2">
        <v>45960</v>
      </c>
      <c r="B10">
        <v>271.13714599609381</v>
      </c>
      <c r="C10">
        <v>6.2834438049239058E-3</v>
      </c>
      <c r="D10">
        <v>1.4329365079365081E-4</v>
      </c>
      <c r="E10">
        <v>6.140150154130255E-3</v>
      </c>
    </row>
    <row r="11" spans="1:5" x14ac:dyDescent="0.3">
      <c r="A11" s="2">
        <v>45961</v>
      </c>
      <c r="B11">
        <v>270.108154296875</v>
      </c>
      <c r="C11">
        <v>-3.8023163929239998E-3</v>
      </c>
      <c r="D11">
        <v>1.4329365079365081E-4</v>
      </c>
      <c r="E11">
        <v>-3.9456100437176506E-3</v>
      </c>
    </row>
    <row r="12" spans="1:5" x14ac:dyDescent="0.3">
      <c r="A12" s="2">
        <v>45964</v>
      </c>
      <c r="B12">
        <v>268.7894287109375</v>
      </c>
      <c r="C12">
        <v>-4.8941700975957446E-3</v>
      </c>
      <c r="D12">
        <v>1.4329365079365081E-4</v>
      </c>
      <c r="E12">
        <v>-5.0374637483893963E-3</v>
      </c>
    </row>
    <row r="13" spans="1:5" x14ac:dyDescent="0.3">
      <c r="A13" s="2">
        <v>45965</v>
      </c>
      <c r="B13">
        <v>269.77847290039063</v>
      </c>
      <c r="C13">
        <v>3.672871325390624E-3</v>
      </c>
      <c r="D13">
        <v>1.4329365079365081E-4</v>
      </c>
      <c r="E13">
        <v>3.5295776745969741E-3</v>
      </c>
    </row>
    <row r="14" spans="1:5" x14ac:dyDescent="0.3">
      <c r="A14" s="2">
        <v>45966</v>
      </c>
      <c r="B14">
        <v>269.87838745117188</v>
      </c>
      <c r="C14">
        <v>3.7028919398077729E-4</v>
      </c>
      <c r="D14">
        <v>1.4329365079365081E-4</v>
      </c>
      <c r="E14">
        <v>2.2699554318712651E-4</v>
      </c>
    </row>
    <row r="15" spans="1:5" x14ac:dyDescent="0.3">
      <c r="A15" s="2">
        <v>45967</v>
      </c>
      <c r="B15">
        <v>269.50872802734381</v>
      </c>
      <c r="C15">
        <v>-1.3706648568130521E-3</v>
      </c>
      <c r="D15">
        <v>1.4329365079365081E-4</v>
      </c>
      <c r="E15">
        <v>-1.5139585076067029E-3</v>
      </c>
    </row>
    <row r="16" spans="1:5" x14ac:dyDescent="0.3">
      <c r="A16" s="2">
        <v>45968</v>
      </c>
      <c r="B16">
        <v>268.20999145507813</v>
      </c>
      <c r="C16">
        <v>-4.8305519247427717E-3</v>
      </c>
      <c r="D16">
        <v>1.4329365079365081E-4</v>
      </c>
      <c r="E16">
        <v>-4.9738455755364234E-3</v>
      </c>
    </row>
    <row r="17" spans="1:5" x14ac:dyDescent="0.3">
      <c r="A17" s="2">
        <v>45971</v>
      </c>
      <c r="B17">
        <v>269.42999267578119</v>
      </c>
      <c r="C17">
        <v>4.5383652656735482E-3</v>
      </c>
      <c r="D17">
        <v>1.4329365079365081E-4</v>
      </c>
      <c r="E17">
        <v>4.3950716148798974E-3</v>
      </c>
    </row>
    <row r="18" spans="1:5" x14ac:dyDescent="0.3">
      <c r="A18" s="2">
        <v>45972</v>
      </c>
      <c r="B18">
        <v>275.25</v>
      </c>
      <c r="C18">
        <v>2.1371186435946422E-2</v>
      </c>
      <c r="D18">
        <v>1.4329365079365081E-4</v>
      </c>
      <c r="E18">
        <v>2.1227892785152771E-2</v>
      </c>
    </row>
    <row r="19" spans="1:5" x14ac:dyDescent="0.3">
      <c r="A19" s="2">
        <v>45973</v>
      </c>
      <c r="B19">
        <v>273.47000122070313</v>
      </c>
      <c r="C19">
        <v>-6.4878445071940788E-3</v>
      </c>
      <c r="D19">
        <v>1.4329365079365081E-4</v>
      </c>
      <c r="E19">
        <v>-6.6311381579877296E-3</v>
      </c>
    </row>
    <row r="20" spans="1:5" x14ac:dyDescent="0.3">
      <c r="A20" s="2">
        <v>45974</v>
      </c>
      <c r="B20">
        <v>272.95001220703119</v>
      </c>
      <c r="C20">
        <v>-1.903258145238526E-3</v>
      </c>
      <c r="D20">
        <v>1.4329365079365081E-4</v>
      </c>
      <c r="E20">
        <v>-2.046551796032177E-3</v>
      </c>
    </row>
    <row r="21" spans="1:5" x14ac:dyDescent="0.3">
      <c r="A21" s="2">
        <v>45975</v>
      </c>
      <c r="B21">
        <v>272.41000366210938</v>
      </c>
      <c r="C21">
        <v>-1.980375185917883E-3</v>
      </c>
      <c r="D21">
        <v>1.4329365079365081E-4</v>
      </c>
      <c r="E21">
        <v>-2.123668836711533E-3</v>
      </c>
    </row>
    <row r="22" spans="1:5" x14ac:dyDescent="0.3">
      <c r="A22" s="2">
        <v>45978</v>
      </c>
      <c r="B22">
        <v>267.45999145507813</v>
      </c>
      <c r="C22">
        <v>-1.833830726819936E-2</v>
      </c>
      <c r="D22">
        <v>1.4329365079365081E-4</v>
      </c>
      <c r="E22">
        <v>-1.8481600918993011E-2</v>
      </c>
    </row>
    <row r="23" spans="1:5" x14ac:dyDescent="0.3">
      <c r="A23" s="2">
        <v>45979</v>
      </c>
      <c r="B23">
        <v>267.44000244140619</v>
      </c>
      <c r="C23">
        <v>-7.4739255596435324E-5</v>
      </c>
      <c r="D23">
        <v>1.4329365079365081E-4</v>
      </c>
      <c r="E23">
        <v>-2.1803290639008609E-4</v>
      </c>
    </row>
    <row r="24" spans="1:5" x14ac:dyDescent="0.3">
      <c r="A24" s="2">
        <v>45980</v>
      </c>
      <c r="B24">
        <v>268.55999755859381</v>
      </c>
      <c r="C24">
        <v>4.179092340407183E-3</v>
      </c>
      <c r="D24">
        <v>1.4329365079365081E-4</v>
      </c>
      <c r="E24">
        <v>4.0357986896135322E-3</v>
      </c>
    </row>
    <row r="25" spans="1:5" x14ac:dyDescent="0.3">
      <c r="A25" s="2">
        <v>45981</v>
      </c>
      <c r="B25">
        <v>266.25</v>
      </c>
      <c r="C25">
        <v>-8.6386265574153517E-3</v>
      </c>
      <c r="D25">
        <v>1.4329365079365081E-4</v>
      </c>
      <c r="E25">
        <v>-8.7819202082090025E-3</v>
      </c>
    </row>
    <row r="26" spans="1:5" x14ac:dyDescent="0.3">
      <c r="A26" s="2">
        <v>45982</v>
      </c>
      <c r="B26">
        <v>271.489990234375</v>
      </c>
      <c r="C26">
        <v>1.9489553289023801E-2</v>
      </c>
      <c r="D26">
        <v>1.4329365079365081E-4</v>
      </c>
      <c r="E26">
        <v>1.934625963823015E-2</v>
      </c>
    </row>
    <row r="27" spans="1:5" x14ac:dyDescent="0.3">
      <c r="A27" s="2">
        <v>45985</v>
      </c>
      <c r="B27">
        <v>275.92001342773438</v>
      </c>
      <c r="C27">
        <v>1.6185746981243001E-2</v>
      </c>
      <c r="D27">
        <v>1.4329365079365081E-4</v>
      </c>
      <c r="E27">
        <v>1.604245333044935E-2</v>
      </c>
    </row>
    <row r="28" spans="1:5" x14ac:dyDescent="0.3">
      <c r="A28" s="2">
        <v>45986</v>
      </c>
      <c r="B28">
        <v>276.97000122070313</v>
      </c>
      <c r="C28">
        <v>3.7981841864668069E-3</v>
      </c>
      <c r="D28">
        <v>1.4329365079365081E-4</v>
      </c>
      <c r="E28">
        <v>3.6548905356731561E-3</v>
      </c>
    </row>
    <row r="29" spans="1:5" x14ac:dyDescent="0.3">
      <c r="A29" s="2">
        <v>45987</v>
      </c>
      <c r="B29">
        <v>277.54998779296881</v>
      </c>
      <c r="C29">
        <v>2.0918516744236749E-3</v>
      </c>
      <c r="D29">
        <v>1.4329365079365081E-4</v>
      </c>
      <c r="E29">
        <v>1.9485580236300239E-3</v>
      </c>
    </row>
    <row r="31" spans="1:5" x14ac:dyDescent="0.3">
      <c r="A31" t="s">
        <v>5</v>
      </c>
      <c r="B31">
        <v>1.4310950712527069E-4</v>
      </c>
    </row>
    <row r="32" spans="1:5" x14ac:dyDescent="0.3">
      <c r="A32" t="s">
        <v>6</v>
      </c>
      <c r="B32" s="3">
        <v>0.1011893403488449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45950</v>
      </c>
      <c r="B2">
        <v>256.54998779296881</v>
      </c>
      <c r="C2">
        <v>1.274896075085548E-2</v>
      </c>
      <c r="D2">
        <v>1.4329365079365081E-4</v>
      </c>
      <c r="E2">
        <v>1.260566710006183E-2</v>
      </c>
    </row>
    <row r="3" spans="1:5" x14ac:dyDescent="0.3">
      <c r="A3" s="2">
        <v>45951</v>
      </c>
      <c r="B3">
        <v>250.46000671386719</v>
      </c>
      <c r="C3">
        <v>-2.4024275864451231E-2</v>
      </c>
      <c r="D3">
        <v>1.4329365079365081E-4</v>
      </c>
      <c r="E3">
        <v>-2.4167569515244881E-2</v>
      </c>
    </row>
    <row r="4" spans="1:5" x14ac:dyDescent="0.3">
      <c r="A4" s="2">
        <v>45952</v>
      </c>
      <c r="B4">
        <v>251.69000244140619</v>
      </c>
      <c r="C4">
        <v>4.8989272729327632E-3</v>
      </c>
      <c r="D4">
        <v>1.4329365079365081E-4</v>
      </c>
      <c r="E4">
        <v>4.7556336221391124E-3</v>
      </c>
    </row>
    <row r="5" spans="1:5" x14ac:dyDescent="0.3">
      <c r="A5" s="2">
        <v>45953</v>
      </c>
      <c r="B5">
        <v>253.08000183105469</v>
      </c>
      <c r="C5">
        <v>5.5074702988018092E-3</v>
      </c>
      <c r="D5">
        <v>1.4329365079365081E-4</v>
      </c>
      <c r="E5">
        <v>5.3641766480081584E-3</v>
      </c>
    </row>
    <row r="6" spans="1:5" x14ac:dyDescent="0.3">
      <c r="A6" s="2">
        <v>45954</v>
      </c>
      <c r="B6">
        <v>259.92001342773438</v>
      </c>
      <c r="C6">
        <v>2.6668291508105312E-2</v>
      </c>
      <c r="D6">
        <v>1.4329365079365081E-4</v>
      </c>
      <c r="E6">
        <v>2.6524997857311661E-2</v>
      </c>
    </row>
    <row r="7" spans="1:5" x14ac:dyDescent="0.3">
      <c r="A7" s="2">
        <v>45957</v>
      </c>
      <c r="B7">
        <v>269.26998901367188</v>
      </c>
      <c r="C7">
        <v>3.5340609864098572E-2</v>
      </c>
      <c r="D7">
        <v>1.4329365079365081E-4</v>
      </c>
      <c r="E7">
        <v>3.5197316213304922E-2</v>
      </c>
    </row>
    <row r="8" spans="1:5" x14ac:dyDescent="0.3">
      <c r="A8" s="2">
        <v>45958</v>
      </c>
      <c r="B8">
        <v>267.47000122070313</v>
      </c>
      <c r="C8">
        <v>-6.707137807960172E-3</v>
      </c>
      <c r="D8">
        <v>1.4329365079365081E-4</v>
      </c>
      <c r="E8">
        <v>-6.8504314587538228E-3</v>
      </c>
    </row>
    <row r="9" spans="1:5" x14ac:dyDescent="0.3">
      <c r="A9" s="2">
        <v>45959</v>
      </c>
      <c r="B9">
        <v>274.57000732421881</v>
      </c>
      <c r="C9">
        <v>2.619884914498043E-2</v>
      </c>
      <c r="D9">
        <v>1.4329365079365081E-4</v>
      </c>
      <c r="E9">
        <v>2.6055555494186779E-2</v>
      </c>
    </row>
    <row r="10" spans="1:5" x14ac:dyDescent="0.3">
      <c r="A10" s="2">
        <v>45960</v>
      </c>
      <c r="B10">
        <v>281.48001098632813</v>
      </c>
      <c r="C10">
        <v>2.4855171905938701E-2</v>
      </c>
      <c r="D10">
        <v>1.4329365079365081E-4</v>
      </c>
      <c r="E10">
        <v>2.4711878255145051E-2</v>
      </c>
    </row>
    <row r="11" spans="1:5" x14ac:dyDescent="0.3">
      <c r="A11" s="2">
        <v>45961</v>
      </c>
      <c r="B11">
        <v>281.19000244140619</v>
      </c>
      <c r="C11">
        <v>-1.0308300200171179E-3</v>
      </c>
      <c r="D11">
        <v>1.4329365079365081E-4</v>
      </c>
      <c r="E11">
        <v>-1.1741236708107689E-3</v>
      </c>
    </row>
    <row r="12" spans="1:5" x14ac:dyDescent="0.3">
      <c r="A12" s="2">
        <v>45964</v>
      </c>
      <c r="B12">
        <v>283.72000122070313</v>
      </c>
      <c r="C12">
        <v>8.9572345274663793E-3</v>
      </c>
      <c r="D12">
        <v>1.4329365079365081E-4</v>
      </c>
      <c r="E12">
        <v>8.8139408766727285E-3</v>
      </c>
    </row>
    <row r="13" spans="1:5" x14ac:dyDescent="0.3">
      <c r="A13" s="2">
        <v>45965</v>
      </c>
      <c r="B13">
        <v>277.54000854492188</v>
      </c>
      <c r="C13">
        <v>-2.202274290544106E-2</v>
      </c>
      <c r="D13">
        <v>1.4329365079365081E-4</v>
      </c>
      <c r="E13">
        <v>-2.2166036556234711E-2</v>
      </c>
    </row>
    <row r="14" spans="1:5" x14ac:dyDescent="0.3">
      <c r="A14" s="2">
        <v>45966</v>
      </c>
      <c r="B14">
        <v>284.30999755859381</v>
      </c>
      <c r="C14">
        <v>2.4100085832148201E-2</v>
      </c>
      <c r="D14">
        <v>1.4329365079365081E-4</v>
      </c>
      <c r="E14">
        <v>2.395679218135455E-2</v>
      </c>
    </row>
    <row r="15" spans="1:5" x14ac:dyDescent="0.3">
      <c r="A15" s="2">
        <v>45967</v>
      </c>
      <c r="B15">
        <v>284.75</v>
      </c>
      <c r="C15">
        <v>1.5464187642058871E-3</v>
      </c>
      <c r="D15">
        <v>1.4329365079365081E-4</v>
      </c>
      <c r="E15">
        <v>1.4031251134122361E-3</v>
      </c>
    </row>
    <row r="16" spans="1:5" x14ac:dyDescent="0.3">
      <c r="A16" s="2">
        <v>45968</v>
      </c>
      <c r="B16">
        <v>278.82998657226563</v>
      </c>
      <c r="C16">
        <v>-2.1009373370027659E-2</v>
      </c>
      <c r="D16">
        <v>1.4329365079365081E-4</v>
      </c>
      <c r="E16">
        <v>-2.115266702082131E-2</v>
      </c>
    </row>
    <row r="17" spans="1:5" x14ac:dyDescent="0.3">
      <c r="A17" s="2">
        <v>45971</v>
      </c>
      <c r="B17">
        <v>290.10000610351563</v>
      </c>
      <c r="C17">
        <v>3.9623483209444803E-2</v>
      </c>
      <c r="D17">
        <v>1.4329365079365081E-4</v>
      </c>
      <c r="E17">
        <v>3.9480189558651152E-2</v>
      </c>
    </row>
    <row r="18" spans="1:5" x14ac:dyDescent="0.3">
      <c r="A18" s="2">
        <v>45972</v>
      </c>
      <c r="B18">
        <v>291.30999755859381</v>
      </c>
      <c r="C18">
        <v>4.162271699253828E-3</v>
      </c>
      <c r="D18">
        <v>1.4329365079365081E-4</v>
      </c>
      <c r="E18">
        <v>4.0189780484601772E-3</v>
      </c>
    </row>
    <row r="19" spans="1:5" x14ac:dyDescent="0.3">
      <c r="A19" s="2">
        <v>45973</v>
      </c>
      <c r="B19">
        <v>286.70999145507813</v>
      </c>
      <c r="C19">
        <v>-1.5916761723126921E-2</v>
      </c>
      <c r="D19">
        <v>1.4329365079365081E-4</v>
      </c>
      <c r="E19">
        <v>-1.6060055373920568E-2</v>
      </c>
    </row>
    <row r="20" spans="1:5" x14ac:dyDescent="0.3">
      <c r="A20" s="2">
        <v>45974</v>
      </c>
      <c r="B20">
        <v>278.57000732421881</v>
      </c>
      <c r="C20">
        <v>-2.8801821566432219E-2</v>
      </c>
      <c r="D20">
        <v>1.4329365079365081E-4</v>
      </c>
      <c r="E20">
        <v>-2.894511521722587E-2</v>
      </c>
    </row>
    <row r="21" spans="1:5" x14ac:dyDescent="0.3">
      <c r="A21" s="2">
        <v>45975</v>
      </c>
      <c r="B21">
        <v>276.41000366210938</v>
      </c>
      <c r="C21">
        <v>-7.7841166384458827E-3</v>
      </c>
      <c r="D21">
        <v>1.4329365079365081E-4</v>
      </c>
      <c r="E21">
        <v>-7.9274102892395344E-3</v>
      </c>
    </row>
    <row r="22" spans="1:5" x14ac:dyDescent="0.3">
      <c r="A22" s="2">
        <v>45978</v>
      </c>
      <c r="B22">
        <v>285.01998901367188</v>
      </c>
      <c r="C22">
        <v>3.067403076129312E-2</v>
      </c>
      <c r="D22">
        <v>1.4329365079365081E-4</v>
      </c>
      <c r="E22">
        <v>3.0530737110499469E-2</v>
      </c>
    </row>
    <row r="23" spans="1:5" x14ac:dyDescent="0.3">
      <c r="A23" s="2">
        <v>45979</v>
      </c>
      <c r="B23">
        <v>284.27999877929688</v>
      </c>
      <c r="C23">
        <v>-2.5996510345730789E-3</v>
      </c>
      <c r="D23">
        <v>1.4329365079365081E-4</v>
      </c>
      <c r="E23">
        <v>-2.7429446853667301E-3</v>
      </c>
    </row>
    <row r="24" spans="1:5" x14ac:dyDescent="0.3">
      <c r="A24" s="2">
        <v>45980</v>
      </c>
      <c r="B24">
        <v>292.80999755859381</v>
      </c>
      <c r="C24">
        <v>2.9564262506891419E-2</v>
      </c>
      <c r="D24">
        <v>1.4329365079365081E-4</v>
      </c>
      <c r="E24">
        <v>2.9420968856097771E-2</v>
      </c>
    </row>
    <row r="25" spans="1:5" x14ac:dyDescent="0.3">
      <c r="A25" s="2">
        <v>45981</v>
      </c>
      <c r="B25">
        <v>289.45001220703119</v>
      </c>
      <c r="C25">
        <v>-1.15413134733614E-2</v>
      </c>
      <c r="D25">
        <v>1.4329365079365081E-4</v>
      </c>
      <c r="E25">
        <v>-1.168460712415505E-2</v>
      </c>
    </row>
    <row r="26" spans="1:5" x14ac:dyDescent="0.3">
      <c r="A26" s="2">
        <v>45982</v>
      </c>
      <c r="B26">
        <v>299.66000366210938</v>
      </c>
      <c r="C26">
        <v>3.4665898137672027E-2</v>
      </c>
      <c r="D26">
        <v>1.4329365079365081E-4</v>
      </c>
      <c r="E26">
        <v>3.4522604486878383E-2</v>
      </c>
    </row>
    <row r="27" spans="1:5" x14ac:dyDescent="0.3">
      <c r="A27" s="2">
        <v>45985</v>
      </c>
      <c r="B27">
        <v>318.57998657226563</v>
      </c>
      <c r="C27">
        <v>6.1225067881906979E-2</v>
      </c>
      <c r="D27">
        <v>1.4329365079365081E-4</v>
      </c>
      <c r="E27">
        <v>6.1081774231113328E-2</v>
      </c>
    </row>
    <row r="28" spans="1:5" x14ac:dyDescent="0.3">
      <c r="A28" s="2">
        <v>45986</v>
      </c>
      <c r="B28">
        <v>323.44000244140619</v>
      </c>
      <c r="C28">
        <v>1.514005416297963E-2</v>
      </c>
      <c r="D28">
        <v>1.4329365079365081E-4</v>
      </c>
      <c r="E28">
        <v>1.4996760512185981E-2</v>
      </c>
    </row>
    <row r="29" spans="1:5" x14ac:dyDescent="0.3">
      <c r="A29" s="2">
        <v>45987</v>
      </c>
      <c r="B29">
        <v>319.95001220703119</v>
      </c>
      <c r="C29">
        <v>-1.0848861142363629E-2</v>
      </c>
      <c r="D29">
        <v>1.4329365079365081E-4</v>
      </c>
      <c r="E29">
        <v>-1.099215479315728E-2</v>
      </c>
    </row>
    <row r="31" spans="1:5" x14ac:dyDescent="0.3">
      <c r="A31" t="s">
        <v>5</v>
      </c>
      <c r="B31">
        <v>5.0845859954698773E-4</v>
      </c>
    </row>
    <row r="32" spans="1:5" x14ac:dyDescent="0.3">
      <c r="A32" t="s">
        <v>6</v>
      </c>
      <c r="B32" s="3">
        <v>0.26312676017478931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45950</v>
      </c>
      <c r="B2">
        <v>349.239990234375</v>
      </c>
      <c r="C2">
        <v>-2.5765876397932822E-4</v>
      </c>
      <c r="D2">
        <v>1.4329365079365081E-4</v>
      </c>
      <c r="E2">
        <v>-4.0095241477297898E-4</v>
      </c>
    </row>
    <row r="3" spans="1:5" x14ac:dyDescent="0.3">
      <c r="A3" s="2">
        <v>45951</v>
      </c>
      <c r="B3">
        <v>342.66000366210938</v>
      </c>
      <c r="C3">
        <v>-1.9020624387978191E-2</v>
      </c>
      <c r="D3">
        <v>1.4329365079365081E-4</v>
      </c>
      <c r="E3">
        <v>-1.9163918038771849E-2</v>
      </c>
    </row>
    <row r="4" spans="1:5" x14ac:dyDescent="0.3">
      <c r="A4" s="2">
        <v>45952</v>
      </c>
      <c r="B4">
        <v>340.29998779296881</v>
      </c>
      <c r="C4">
        <v>-6.9111669566464659E-3</v>
      </c>
      <c r="D4">
        <v>1.4329365079365081E-4</v>
      </c>
      <c r="E4">
        <v>-7.0544606074401167E-3</v>
      </c>
    </row>
    <row r="5" spans="1:5" x14ac:dyDescent="0.3">
      <c r="A5" s="2">
        <v>45953</v>
      </c>
      <c r="B5">
        <v>344.29000854492188</v>
      </c>
      <c r="C5">
        <v>1.1656804668178559E-2</v>
      </c>
      <c r="D5">
        <v>1.4329365079365081E-4</v>
      </c>
      <c r="E5">
        <v>1.151351101738491E-2</v>
      </c>
    </row>
    <row r="6" spans="1:5" x14ac:dyDescent="0.3">
      <c r="A6" s="2">
        <v>45954</v>
      </c>
      <c r="B6">
        <v>354.1300048828125</v>
      </c>
      <c r="C6">
        <v>2.8179740843694061E-2</v>
      </c>
      <c r="D6">
        <v>1.4329365079365081E-4</v>
      </c>
      <c r="E6">
        <v>2.803644719290041E-2</v>
      </c>
    </row>
    <row r="7" spans="1:5" x14ac:dyDescent="0.3">
      <c r="A7" s="2">
        <v>45957</v>
      </c>
      <c r="B7">
        <v>362.04998779296881</v>
      </c>
      <c r="C7">
        <v>2.211819897105529E-2</v>
      </c>
      <c r="D7">
        <v>1.4329365079365081E-4</v>
      </c>
      <c r="E7">
        <v>2.197490532026164E-2</v>
      </c>
    </row>
    <row r="8" spans="1:5" x14ac:dyDescent="0.3">
      <c r="A8" s="2">
        <v>45958</v>
      </c>
      <c r="B8">
        <v>372.97000122070313</v>
      </c>
      <c r="C8">
        <v>2.971570060933049E-2</v>
      </c>
      <c r="D8">
        <v>1.4329365079365081E-4</v>
      </c>
      <c r="E8">
        <v>2.9572406958536839E-2</v>
      </c>
    </row>
    <row r="9" spans="1:5" x14ac:dyDescent="0.3">
      <c r="A9" s="2">
        <v>45959</v>
      </c>
      <c r="B9">
        <v>385.98001098632813</v>
      </c>
      <c r="C9">
        <v>3.4287592386692399E-2</v>
      </c>
      <c r="D9">
        <v>1.4329365079365081E-4</v>
      </c>
      <c r="E9">
        <v>3.4144298735898748E-2</v>
      </c>
    </row>
    <row r="10" spans="1:5" x14ac:dyDescent="0.3">
      <c r="A10" s="2">
        <v>45960</v>
      </c>
      <c r="B10">
        <v>376.47000122070313</v>
      </c>
      <c r="C10">
        <v>-2.4947217081604162E-2</v>
      </c>
      <c r="D10">
        <v>1.4329365079365081E-4</v>
      </c>
      <c r="E10">
        <v>-2.5090510732397809E-2</v>
      </c>
    </row>
    <row r="11" spans="1:5" x14ac:dyDescent="0.3">
      <c r="A11" s="2">
        <v>45961</v>
      </c>
      <c r="B11">
        <v>369.6300048828125</v>
      </c>
      <c r="C11">
        <v>-1.8335847518137181E-2</v>
      </c>
      <c r="D11">
        <v>1.4329365079365081E-4</v>
      </c>
      <c r="E11">
        <v>-1.8479141168930839E-2</v>
      </c>
    </row>
    <row r="12" spans="1:5" x14ac:dyDescent="0.3">
      <c r="A12" s="2">
        <v>45964</v>
      </c>
      <c r="B12">
        <v>362.54998779296881</v>
      </c>
      <c r="C12">
        <v>-1.9340156367010711E-2</v>
      </c>
      <c r="D12">
        <v>1.4329365079365081E-4</v>
      </c>
      <c r="E12">
        <v>-1.9483450017804362E-2</v>
      </c>
    </row>
    <row r="13" spans="1:5" x14ac:dyDescent="0.3">
      <c r="A13" s="2">
        <v>45965</v>
      </c>
      <c r="B13">
        <v>351.94000244140619</v>
      </c>
      <c r="C13">
        <v>-2.970164868706519E-2</v>
      </c>
      <c r="D13">
        <v>1.4329365079365081E-4</v>
      </c>
      <c r="E13">
        <v>-2.9844942337858841E-2</v>
      </c>
    </row>
    <row r="14" spans="1:5" x14ac:dyDescent="0.3">
      <c r="A14" s="2">
        <v>45966</v>
      </c>
      <c r="B14">
        <v>358.98001098632813</v>
      </c>
      <c r="C14">
        <v>1.9805993773674219E-2</v>
      </c>
      <c r="D14">
        <v>1.4329365079365081E-4</v>
      </c>
      <c r="E14">
        <v>1.9662700122880569E-2</v>
      </c>
    </row>
    <row r="15" spans="1:5" x14ac:dyDescent="0.3">
      <c r="A15" s="2">
        <v>45967</v>
      </c>
      <c r="B15">
        <v>355.58999633789063</v>
      </c>
      <c r="C15">
        <v>-9.4883357734515013E-3</v>
      </c>
      <c r="D15">
        <v>1.4329365079365081E-4</v>
      </c>
      <c r="E15">
        <v>-9.6316294242451521E-3</v>
      </c>
    </row>
    <row r="16" spans="1:5" x14ac:dyDescent="0.3">
      <c r="A16" s="2">
        <v>45968</v>
      </c>
      <c r="B16">
        <v>349.42999267578119</v>
      </c>
      <c r="C16">
        <v>-1.7475136930420951E-2</v>
      </c>
      <c r="D16">
        <v>1.4329365079365081E-4</v>
      </c>
      <c r="E16">
        <v>-1.7618430581214602E-2</v>
      </c>
    </row>
    <row r="17" spans="1:5" x14ac:dyDescent="0.3">
      <c r="A17" s="2">
        <v>45971</v>
      </c>
      <c r="B17">
        <v>358.3900146484375</v>
      </c>
      <c r="C17">
        <v>2.531858526828213E-2</v>
      </c>
      <c r="D17">
        <v>1.4329365079365081E-4</v>
      </c>
      <c r="E17">
        <v>2.5175291617488479E-2</v>
      </c>
    </row>
    <row r="18" spans="1:5" x14ac:dyDescent="0.3">
      <c r="A18" s="2">
        <v>45972</v>
      </c>
      <c r="B18">
        <v>351.95999145507813</v>
      </c>
      <c r="C18">
        <v>-1.8104311299440439E-2</v>
      </c>
      <c r="D18">
        <v>1.4329365079365081E-4</v>
      </c>
      <c r="E18">
        <v>-1.824760495023409E-2</v>
      </c>
    </row>
    <row r="19" spans="1:5" x14ac:dyDescent="0.3">
      <c r="A19" s="2">
        <v>45973</v>
      </c>
      <c r="B19">
        <v>355.22000122070313</v>
      </c>
      <c r="C19">
        <v>9.2198107763968046E-3</v>
      </c>
      <c r="D19">
        <v>1.4329365079365081E-4</v>
      </c>
      <c r="E19">
        <v>9.0765171256031538E-3</v>
      </c>
    </row>
    <row r="20" spans="1:5" x14ac:dyDescent="0.3">
      <c r="A20" s="2">
        <v>45974</v>
      </c>
      <c r="B20">
        <v>339.98001098632813</v>
      </c>
      <c r="C20">
        <v>-4.3850494610397708E-2</v>
      </c>
      <c r="D20">
        <v>1.4329365079365081E-4</v>
      </c>
      <c r="E20">
        <v>-4.3993788261191359E-2</v>
      </c>
    </row>
    <row r="21" spans="1:5" x14ac:dyDescent="0.3">
      <c r="A21" s="2">
        <v>45975</v>
      </c>
      <c r="B21">
        <v>342.45999145507813</v>
      </c>
      <c r="C21">
        <v>7.2680129439799696E-3</v>
      </c>
      <c r="D21">
        <v>1.4329365079365081E-4</v>
      </c>
      <c r="E21">
        <v>7.1247192931863188E-3</v>
      </c>
    </row>
    <row r="22" spans="1:5" x14ac:dyDescent="0.3">
      <c r="A22" s="2">
        <v>45978</v>
      </c>
      <c r="B22">
        <v>342.64999389648438</v>
      </c>
      <c r="C22">
        <v>5.5466260991642892E-4</v>
      </c>
      <c r="D22">
        <v>1.4329365079365081E-4</v>
      </c>
      <c r="E22">
        <v>4.1136895912277812E-4</v>
      </c>
    </row>
    <row r="23" spans="1:5" x14ac:dyDescent="0.3">
      <c r="A23" s="2">
        <v>45979</v>
      </c>
      <c r="B23">
        <v>340.5</v>
      </c>
      <c r="C23">
        <v>-6.294374629583023E-3</v>
      </c>
      <c r="D23">
        <v>1.4329365079365081E-4</v>
      </c>
      <c r="E23">
        <v>-6.4376682803766738E-3</v>
      </c>
    </row>
    <row r="24" spans="1:5" x14ac:dyDescent="0.3">
      <c r="A24" s="2">
        <v>45980</v>
      </c>
      <c r="B24">
        <v>354.42001342773438</v>
      </c>
      <c r="C24">
        <v>4.0067562844134132E-2</v>
      </c>
      <c r="D24">
        <v>1.4329365079365081E-4</v>
      </c>
      <c r="E24">
        <v>3.9924269193340481E-2</v>
      </c>
    </row>
    <row r="25" spans="1:5" x14ac:dyDescent="0.3">
      <c r="A25" s="2">
        <v>45981</v>
      </c>
      <c r="B25">
        <v>346.82000732421881</v>
      </c>
      <c r="C25">
        <v>-2.1676753945084729E-2</v>
      </c>
      <c r="D25">
        <v>1.4329365079365081E-4</v>
      </c>
      <c r="E25">
        <v>-2.182004759587838E-2</v>
      </c>
    </row>
    <row r="26" spans="1:5" x14ac:dyDescent="0.3">
      <c r="A26" s="2">
        <v>45982</v>
      </c>
      <c r="B26">
        <v>340.20001220703119</v>
      </c>
      <c r="C26">
        <v>-1.9272218644929558E-2</v>
      </c>
      <c r="D26">
        <v>1.4329365079365081E-4</v>
      </c>
      <c r="E26">
        <v>-1.9415512295723209E-2</v>
      </c>
    </row>
    <row r="27" spans="1:5" x14ac:dyDescent="0.3">
      <c r="A27" s="2">
        <v>45985</v>
      </c>
      <c r="B27">
        <v>377.95999145507813</v>
      </c>
      <c r="C27">
        <v>0.1052546314627322</v>
      </c>
      <c r="D27">
        <v>1.4329365079365081E-4</v>
      </c>
      <c r="E27">
        <v>0.1051113378119386</v>
      </c>
    </row>
    <row r="28" spans="1:5" x14ac:dyDescent="0.3">
      <c r="A28" s="2">
        <v>45986</v>
      </c>
      <c r="B28">
        <v>385.02999877929688</v>
      </c>
      <c r="C28">
        <v>1.8532902853109271E-2</v>
      </c>
      <c r="D28">
        <v>1.4329365079365081E-4</v>
      </c>
      <c r="E28">
        <v>1.838960920231562E-2</v>
      </c>
    </row>
    <row r="29" spans="1:5" x14ac:dyDescent="0.3">
      <c r="A29" s="2">
        <v>45987</v>
      </c>
      <c r="B29">
        <v>397.57000732421881</v>
      </c>
      <c r="C29">
        <v>3.2049787482356568E-2</v>
      </c>
      <c r="D29">
        <v>1.4329365079365081E-4</v>
      </c>
      <c r="E29">
        <v>3.1906493831562917E-2</v>
      </c>
    </row>
    <row r="31" spans="1:5" x14ac:dyDescent="0.3">
      <c r="A31" t="s">
        <v>5</v>
      </c>
      <c r="B31">
        <v>8.9843288366941206E-4</v>
      </c>
    </row>
    <row r="32" spans="1:5" x14ac:dyDescent="0.3">
      <c r="A32" t="s">
        <v>6</v>
      </c>
      <c r="B32" s="3">
        <v>0.1380929854470816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45950</v>
      </c>
      <c r="B2">
        <v>182.62983703613281</v>
      </c>
      <c r="C2">
        <v>-3.1706339466409318E-3</v>
      </c>
      <c r="D2">
        <v>1.4329365079365081E-4</v>
      </c>
      <c r="E2">
        <v>-3.3139275974345831E-3</v>
      </c>
    </row>
    <row r="3" spans="1:5" x14ac:dyDescent="0.3">
      <c r="A3" s="2">
        <v>45951</v>
      </c>
      <c r="B3">
        <v>181.14991760253909</v>
      </c>
      <c r="C3">
        <v>-8.1363934031326458E-3</v>
      </c>
      <c r="D3">
        <v>1.4329365079365081E-4</v>
      </c>
      <c r="E3">
        <v>-8.2796870539262966E-3</v>
      </c>
    </row>
    <row r="4" spans="1:5" x14ac:dyDescent="0.3">
      <c r="A4" s="2">
        <v>45952</v>
      </c>
      <c r="B4">
        <v>180.26995849609381</v>
      </c>
      <c r="C4">
        <v>-4.8694657013351851E-3</v>
      </c>
      <c r="D4">
        <v>1.4329365079365081E-4</v>
      </c>
      <c r="E4">
        <v>-5.012759352128836E-3</v>
      </c>
    </row>
    <row r="5" spans="1:5" x14ac:dyDescent="0.3">
      <c r="A5" s="2">
        <v>45953</v>
      </c>
      <c r="B5">
        <v>182.14985656738281</v>
      </c>
      <c r="C5">
        <v>1.0374239229939851E-2</v>
      </c>
      <c r="D5">
        <v>1.4329365079365081E-4</v>
      </c>
      <c r="E5">
        <v>1.0230945579146189E-2</v>
      </c>
    </row>
    <row r="6" spans="1:5" x14ac:dyDescent="0.3">
      <c r="A6" s="2">
        <v>45954</v>
      </c>
      <c r="B6">
        <v>186.24961853027341</v>
      </c>
      <c r="C6">
        <v>2.2258073086015281E-2</v>
      </c>
      <c r="D6">
        <v>1.4329365079365081E-4</v>
      </c>
      <c r="E6">
        <v>2.2114779435221631E-2</v>
      </c>
    </row>
    <row r="7" spans="1:5" x14ac:dyDescent="0.3">
      <c r="A7" s="2">
        <v>45957</v>
      </c>
      <c r="B7">
        <v>191.4793395996094</v>
      </c>
      <c r="C7">
        <v>2.769210649418526E-2</v>
      </c>
      <c r="D7">
        <v>1.4329365079365081E-4</v>
      </c>
      <c r="E7">
        <v>2.7548812843391609E-2</v>
      </c>
    </row>
    <row r="8" spans="1:5" x14ac:dyDescent="0.3">
      <c r="A8" s="2">
        <v>45958</v>
      </c>
      <c r="B8">
        <v>201.01881408691409</v>
      </c>
      <c r="C8">
        <v>4.8618590508949407E-2</v>
      </c>
      <c r="D8">
        <v>1.4329365079365081E-4</v>
      </c>
      <c r="E8">
        <v>4.8475296858155763E-2</v>
      </c>
    </row>
    <row r="9" spans="1:5" x14ac:dyDescent="0.3">
      <c r="A9" s="2">
        <v>45959</v>
      </c>
      <c r="B9">
        <v>207.0284729003906</v>
      </c>
      <c r="C9">
        <v>2.945782794853426E-2</v>
      </c>
      <c r="D9">
        <v>1.4329365079365081E-4</v>
      </c>
      <c r="E9">
        <v>2.931453429774061E-2</v>
      </c>
    </row>
    <row r="10" spans="1:5" x14ac:dyDescent="0.3">
      <c r="A10" s="2">
        <v>45960</v>
      </c>
      <c r="B10">
        <v>202.87870788574219</v>
      </c>
      <c r="C10">
        <v>-2.0248031680764181E-2</v>
      </c>
      <c r="D10">
        <v>1.4329365079365081E-4</v>
      </c>
      <c r="E10">
        <v>-2.0391325331557832E-2</v>
      </c>
    </row>
    <row r="11" spans="1:5" x14ac:dyDescent="0.3">
      <c r="A11" s="2">
        <v>45961</v>
      </c>
      <c r="B11">
        <v>202.4787292480469</v>
      </c>
      <c r="C11">
        <v>-1.9734620898285609E-3</v>
      </c>
      <c r="D11">
        <v>1.4329365079365081E-4</v>
      </c>
      <c r="E11">
        <v>-2.1167557406222121E-3</v>
      </c>
    </row>
    <row r="12" spans="1:5" x14ac:dyDescent="0.3">
      <c r="A12" s="2">
        <v>45964</v>
      </c>
      <c r="B12">
        <v>206.86848449707031</v>
      </c>
      <c r="C12">
        <v>2.1448410478101192E-2</v>
      </c>
      <c r="D12">
        <v>1.4329365079365081E-4</v>
      </c>
      <c r="E12">
        <v>2.1305116827307541E-2</v>
      </c>
    </row>
    <row r="13" spans="1:5" x14ac:dyDescent="0.3">
      <c r="A13" s="2">
        <v>45965</v>
      </c>
      <c r="B13">
        <v>198.67893981933591</v>
      </c>
      <c r="C13">
        <v>-4.0393096653954352E-2</v>
      </c>
      <c r="D13">
        <v>1.4329365079365081E-4</v>
      </c>
      <c r="E13">
        <v>-4.0536390304748003E-2</v>
      </c>
    </row>
    <row r="14" spans="1:5" x14ac:dyDescent="0.3">
      <c r="A14" s="2">
        <v>45966</v>
      </c>
      <c r="B14">
        <v>195.19914245605469</v>
      </c>
      <c r="C14">
        <v>-1.766987328930434E-2</v>
      </c>
      <c r="D14">
        <v>1.4329365079365081E-4</v>
      </c>
      <c r="E14">
        <v>-1.7813166940097991E-2</v>
      </c>
    </row>
    <row r="15" spans="1:5" x14ac:dyDescent="0.3">
      <c r="A15" s="2">
        <v>45967</v>
      </c>
      <c r="B15">
        <v>188.06953430175781</v>
      </c>
      <c r="C15">
        <v>-3.720852305928514E-2</v>
      </c>
      <c r="D15">
        <v>1.4329365079365081E-4</v>
      </c>
      <c r="E15">
        <v>-3.735181671007879E-2</v>
      </c>
    </row>
    <row r="16" spans="1:5" x14ac:dyDescent="0.3">
      <c r="A16" s="2">
        <v>45968</v>
      </c>
      <c r="B16">
        <v>188.1395263671875</v>
      </c>
      <c r="C16">
        <v>3.7209133726219881E-4</v>
      </c>
      <c r="D16">
        <v>1.4329365079365081E-4</v>
      </c>
      <c r="E16">
        <v>2.2879768646854801E-4</v>
      </c>
    </row>
    <row r="17" spans="1:5" x14ac:dyDescent="0.3">
      <c r="A17" s="2">
        <v>45971</v>
      </c>
      <c r="B17">
        <v>199.03892517089841</v>
      </c>
      <c r="C17">
        <v>5.6316560378548743E-2</v>
      </c>
      <c r="D17">
        <v>1.4329365079365081E-4</v>
      </c>
      <c r="E17">
        <v>5.6173266727755092E-2</v>
      </c>
    </row>
    <row r="18" spans="1:5" x14ac:dyDescent="0.3">
      <c r="A18" s="2">
        <v>45972</v>
      </c>
      <c r="B18">
        <v>193.14924621582031</v>
      </c>
      <c r="C18">
        <v>-3.003722295014985E-2</v>
      </c>
      <c r="D18">
        <v>1.4329365079365081E-4</v>
      </c>
      <c r="E18">
        <v>-3.0180516600943501E-2</v>
      </c>
    </row>
    <row r="19" spans="1:5" x14ac:dyDescent="0.3">
      <c r="A19" s="2">
        <v>45973</v>
      </c>
      <c r="B19">
        <v>193.7892150878906</v>
      </c>
      <c r="C19">
        <v>3.3078616866165349E-3</v>
      </c>
      <c r="D19">
        <v>1.4329365079365081E-4</v>
      </c>
      <c r="E19">
        <v>3.1645680358228841E-3</v>
      </c>
    </row>
    <row r="20" spans="1:5" x14ac:dyDescent="0.3">
      <c r="A20" s="2">
        <v>45974</v>
      </c>
      <c r="B20">
        <v>186.84959411621091</v>
      </c>
      <c r="C20">
        <v>-3.6467064521730902E-2</v>
      </c>
      <c r="D20">
        <v>1.4329365079365081E-4</v>
      </c>
      <c r="E20">
        <v>-3.6610358172524553E-2</v>
      </c>
    </row>
    <row r="21" spans="1:5" x14ac:dyDescent="0.3">
      <c r="A21" s="2">
        <v>45975</v>
      </c>
      <c r="B21">
        <v>190.15940856933591</v>
      </c>
      <c r="C21">
        <v>1.7558729188080761E-2</v>
      </c>
      <c r="D21">
        <v>1.4329365079365081E-4</v>
      </c>
      <c r="E21">
        <v>1.7415435537287111E-2</v>
      </c>
    </row>
    <row r="22" spans="1:5" x14ac:dyDescent="0.3">
      <c r="A22" s="2">
        <v>45978</v>
      </c>
      <c r="B22">
        <v>186.58961486816409</v>
      </c>
      <c r="C22">
        <v>-1.895108052019984E-2</v>
      </c>
      <c r="D22">
        <v>1.4329365079365081E-4</v>
      </c>
      <c r="E22">
        <v>-1.9094374170993491E-2</v>
      </c>
    </row>
    <row r="23" spans="1:5" x14ac:dyDescent="0.3">
      <c r="A23" s="2">
        <v>45979</v>
      </c>
      <c r="B23">
        <v>181.34989929199219</v>
      </c>
      <c r="C23">
        <v>-2.8483321948272109E-2</v>
      </c>
      <c r="D23">
        <v>1.4329365079365081E-4</v>
      </c>
      <c r="E23">
        <v>-2.862661559906576E-2</v>
      </c>
    </row>
    <row r="24" spans="1:5" x14ac:dyDescent="0.3">
      <c r="A24" s="2">
        <v>45980</v>
      </c>
      <c r="B24">
        <v>186.5096130371094</v>
      </c>
      <c r="C24">
        <v>2.805447178564939E-2</v>
      </c>
      <c r="D24">
        <v>1.4329365079365081E-4</v>
      </c>
      <c r="E24">
        <v>2.7911178134855739E-2</v>
      </c>
    </row>
    <row r="25" spans="1:5" x14ac:dyDescent="0.3">
      <c r="A25" s="2">
        <v>45981</v>
      </c>
      <c r="B25">
        <v>180.62994384765619</v>
      </c>
      <c r="C25">
        <v>-3.2032352915408763E-2</v>
      </c>
      <c r="D25">
        <v>1.4329365079365081E-4</v>
      </c>
      <c r="E25">
        <v>-3.2175646566202407E-2</v>
      </c>
    </row>
    <row r="26" spans="1:5" x14ac:dyDescent="0.3">
      <c r="A26" s="2">
        <v>45982</v>
      </c>
      <c r="B26">
        <v>178.87004089355469</v>
      </c>
      <c r="C26">
        <v>-9.790915648216417E-3</v>
      </c>
      <c r="D26">
        <v>1.4329365079365081E-4</v>
      </c>
      <c r="E26">
        <v>-9.9342092990100678E-3</v>
      </c>
    </row>
    <row r="27" spans="1:5" x14ac:dyDescent="0.3">
      <c r="A27" s="2">
        <v>45985</v>
      </c>
      <c r="B27">
        <v>182.53984069824219</v>
      </c>
      <c r="C27">
        <v>2.030894076650271E-2</v>
      </c>
      <c r="D27">
        <v>1.4329365079365081E-4</v>
      </c>
      <c r="E27">
        <v>2.0165647115709059E-2</v>
      </c>
    </row>
    <row r="28" spans="1:5" x14ac:dyDescent="0.3">
      <c r="A28" s="2">
        <v>45986</v>
      </c>
      <c r="B28">
        <v>177.81010437011719</v>
      </c>
      <c r="C28">
        <v>-2.625230295007782E-2</v>
      </c>
      <c r="D28">
        <v>1.4329365079365081E-4</v>
      </c>
      <c r="E28">
        <v>-2.6395596600871471E-2</v>
      </c>
    </row>
    <row r="29" spans="1:5" x14ac:dyDescent="0.3">
      <c r="A29" s="2">
        <v>45987</v>
      </c>
      <c r="B29">
        <v>180.24995422363281</v>
      </c>
      <c r="C29">
        <v>1.362837076139389E-2</v>
      </c>
      <c r="D29">
        <v>1.4329365079365081E-4</v>
      </c>
      <c r="E29">
        <v>1.3485077110600241E-2</v>
      </c>
    </row>
    <row r="31" spans="1:5" x14ac:dyDescent="0.3">
      <c r="A31" t="s">
        <v>5</v>
      </c>
      <c r="B31">
        <v>7.0310959585019714E-4</v>
      </c>
    </row>
    <row r="32" spans="1:5" x14ac:dyDescent="0.3">
      <c r="A32" t="s">
        <v>6</v>
      </c>
      <c r="B32" s="3">
        <v>-1.6155544032492308E-2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45950</v>
      </c>
      <c r="B2">
        <v>181.5899963378906</v>
      </c>
      <c r="C2">
        <v>1.9125520613492219E-2</v>
      </c>
      <c r="D2">
        <v>1.4329365079365081E-4</v>
      </c>
      <c r="E2">
        <v>1.8982226962698561E-2</v>
      </c>
    </row>
    <row r="3" spans="1:5" x14ac:dyDescent="0.3">
      <c r="A3" s="2">
        <v>45951</v>
      </c>
      <c r="B3">
        <v>181.50999450683591</v>
      </c>
      <c r="C3">
        <v>-4.4066006260771811E-4</v>
      </c>
      <c r="D3">
        <v>1.4329365079365081E-4</v>
      </c>
      <c r="E3">
        <v>-5.8395371340136891E-4</v>
      </c>
    </row>
    <row r="4" spans="1:5" x14ac:dyDescent="0.3">
      <c r="A4" s="2">
        <v>45952</v>
      </c>
      <c r="B4">
        <v>175.49000549316409</v>
      </c>
      <c r="C4">
        <v>-3.3728625814808053E-2</v>
      </c>
      <c r="D4">
        <v>1.4329365079365081E-4</v>
      </c>
      <c r="E4">
        <v>-3.3871919465601703E-2</v>
      </c>
    </row>
    <row r="5" spans="1:5" x14ac:dyDescent="0.3">
      <c r="A5" s="2">
        <v>45953</v>
      </c>
      <c r="B5">
        <v>180.47999572753909</v>
      </c>
      <c r="C5">
        <v>2.8037852109548501E-2</v>
      </c>
      <c r="D5">
        <v>1.4329365079365081E-4</v>
      </c>
      <c r="E5">
        <v>2.789455845875485E-2</v>
      </c>
    </row>
    <row r="6" spans="1:5" x14ac:dyDescent="0.3">
      <c r="A6" s="2">
        <v>45954</v>
      </c>
      <c r="B6">
        <v>184.6300048828125</v>
      </c>
      <c r="C6">
        <v>2.2733904217198439E-2</v>
      </c>
      <c r="D6">
        <v>1.4329365079365081E-4</v>
      </c>
      <c r="E6">
        <v>2.2590610566404781E-2</v>
      </c>
    </row>
    <row r="7" spans="1:5" x14ac:dyDescent="0.3">
      <c r="A7" s="2">
        <v>45957</v>
      </c>
      <c r="B7">
        <v>189.17999267578119</v>
      </c>
      <c r="C7">
        <v>2.4345055215290179E-2</v>
      </c>
      <c r="D7">
        <v>1.4329365079365081E-4</v>
      </c>
      <c r="E7">
        <v>2.4201761564496532E-2</v>
      </c>
    </row>
    <row r="8" spans="1:5" x14ac:dyDescent="0.3">
      <c r="A8" s="2">
        <v>45958</v>
      </c>
      <c r="B8">
        <v>189.6000061035156</v>
      </c>
      <c r="C8">
        <v>2.217717943043433E-3</v>
      </c>
      <c r="D8">
        <v>1.4329365079365081E-4</v>
      </c>
      <c r="E8">
        <v>2.0744242922497822E-3</v>
      </c>
    </row>
    <row r="9" spans="1:5" x14ac:dyDescent="0.3">
      <c r="A9" s="2">
        <v>45959</v>
      </c>
      <c r="B9">
        <v>198.80999755859381</v>
      </c>
      <c r="C9">
        <v>4.7432960475688207E-2</v>
      </c>
      <c r="D9">
        <v>1.4329365079365081E-4</v>
      </c>
      <c r="E9">
        <v>4.7289666824894563E-2</v>
      </c>
    </row>
    <row r="10" spans="1:5" x14ac:dyDescent="0.3">
      <c r="A10" s="2">
        <v>45960</v>
      </c>
      <c r="B10">
        <v>194.55000305175781</v>
      </c>
      <c r="C10">
        <v>-2.166036737134578E-2</v>
      </c>
      <c r="D10">
        <v>1.4329365079365081E-4</v>
      </c>
      <c r="E10">
        <v>-2.1803661022139431E-2</v>
      </c>
    </row>
    <row r="11" spans="1:5" x14ac:dyDescent="0.3">
      <c r="A11" s="2">
        <v>45961</v>
      </c>
      <c r="B11">
        <v>200.4700012207031</v>
      </c>
      <c r="C11">
        <v>2.9975400588789339E-2</v>
      </c>
      <c r="D11">
        <v>1.4329365079365081E-4</v>
      </c>
      <c r="E11">
        <v>2.9832106937995689E-2</v>
      </c>
    </row>
    <row r="12" spans="1:5" x14ac:dyDescent="0.3">
      <c r="A12" s="2">
        <v>45964</v>
      </c>
      <c r="B12">
        <v>207.17999267578119</v>
      </c>
      <c r="C12">
        <v>3.2923329572406179E-2</v>
      </c>
      <c r="D12">
        <v>1.4329365079365081E-4</v>
      </c>
      <c r="E12">
        <v>3.2780035921612528E-2</v>
      </c>
    </row>
    <row r="13" spans="1:5" x14ac:dyDescent="0.3">
      <c r="A13" s="2">
        <v>45965</v>
      </c>
      <c r="B13">
        <v>190.74000549316409</v>
      </c>
      <c r="C13">
        <v>-8.2676672328006517E-2</v>
      </c>
      <c r="D13">
        <v>1.4329365079365081E-4</v>
      </c>
      <c r="E13">
        <v>-8.2819965978800175E-2</v>
      </c>
    </row>
    <row r="14" spans="1:5" x14ac:dyDescent="0.3">
      <c r="A14" s="2">
        <v>45966</v>
      </c>
      <c r="B14">
        <v>187.8999938964844</v>
      </c>
      <c r="C14">
        <v>-1.5001399013357959E-2</v>
      </c>
      <c r="D14">
        <v>1.4329365079365081E-4</v>
      </c>
      <c r="E14">
        <v>-1.514469266415161E-2</v>
      </c>
    </row>
    <row r="15" spans="1:5" x14ac:dyDescent="0.3">
      <c r="A15" s="2">
        <v>45967</v>
      </c>
      <c r="B15">
        <v>175.05000305175781</v>
      </c>
      <c r="C15">
        <v>-7.0838209102322872E-2</v>
      </c>
      <c r="D15">
        <v>1.4329365079365081E-4</v>
      </c>
      <c r="E15">
        <v>-7.0981502753116515E-2</v>
      </c>
    </row>
    <row r="16" spans="1:5" x14ac:dyDescent="0.3">
      <c r="A16" s="2">
        <v>45968</v>
      </c>
      <c r="B16">
        <v>177.92999267578119</v>
      </c>
      <c r="C16">
        <v>1.631850852095023E-2</v>
      </c>
      <c r="D16">
        <v>1.4329365079365081E-4</v>
      </c>
      <c r="E16">
        <v>1.6175214870156579E-2</v>
      </c>
    </row>
    <row r="17" spans="1:5" x14ac:dyDescent="0.3">
      <c r="A17" s="2">
        <v>45971</v>
      </c>
      <c r="B17">
        <v>193.61000061035159</v>
      </c>
      <c r="C17">
        <v>8.445565619829358E-2</v>
      </c>
      <c r="D17">
        <v>1.4329365079365081E-4</v>
      </c>
      <c r="E17">
        <v>8.4312362547499936E-2</v>
      </c>
    </row>
    <row r="18" spans="1:5" x14ac:dyDescent="0.3">
      <c r="A18" s="2">
        <v>45972</v>
      </c>
      <c r="B18">
        <v>190.96000671386719</v>
      </c>
      <c r="C18">
        <v>-1.3781812364479271E-2</v>
      </c>
      <c r="D18">
        <v>1.4329365079365081E-4</v>
      </c>
      <c r="E18">
        <v>-1.392510601527292E-2</v>
      </c>
    </row>
    <row r="19" spans="1:5" x14ac:dyDescent="0.3">
      <c r="A19" s="2">
        <v>45973</v>
      </c>
      <c r="B19">
        <v>184.16999816894531</v>
      </c>
      <c r="C19">
        <v>-3.6204783023757979E-2</v>
      </c>
      <c r="D19">
        <v>1.4329365079365081E-4</v>
      </c>
      <c r="E19">
        <v>-3.634807667455163E-2</v>
      </c>
    </row>
    <row r="20" spans="1:5" x14ac:dyDescent="0.3">
      <c r="A20" s="2">
        <v>45974</v>
      </c>
      <c r="B20">
        <v>172.13999938964841</v>
      </c>
      <c r="C20">
        <v>-6.7551138489657381E-2</v>
      </c>
      <c r="D20">
        <v>1.4329365079365081E-4</v>
      </c>
      <c r="E20">
        <v>-6.7694432140451039E-2</v>
      </c>
    </row>
    <row r="21" spans="1:5" x14ac:dyDescent="0.3">
      <c r="A21" s="2">
        <v>45975</v>
      </c>
      <c r="B21">
        <v>174.00999450683591</v>
      </c>
      <c r="C21">
        <v>1.0804641583733499E-2</v>
      </c>
      <c r="D21">
        <v>1.4329365079365081E-4</v>
      </c>
      <c r="E21">
        <v>1.066134793293985E-2</v>
      </c>
    </row>
    <row r="22" spans="1:5" x14ac:dyDescent="0.3">
      <c r="A22" s="2">
        <v>45978</v>
      </c>
      <c r="B22">
        <v>171.25</v>
      </c>
      <c r="C22">
        <v>-1.5988260117057701E-2</v>
      </c>
      <c r="D22">
        <v>1.4329365079365081E-4</v>
      </c>
      <c r="E22">
        <v>-1.6131553767851359E-2</v>
      </c>
    </row>
    <row r="23" spans="1:5" x14ac:dyDescent="0.3">
      <c r="A23" s="2">
        <v>45979</v>
      </c>
      <c r="B23">
        <v>167.33000183105469</v>
      </c>
      <c r="C23">
        <v>-2.3156555693076661E-2</v>
      </c>
      <c r="D23">
        <v>1.4329365079365081E-4</v>
      </c>
      <c r="E23">
        <v>-2.3299849343870312E-2</v>
      </c>
    </row>
    <row r="24" spans="1:5" x14ac:dyDescent="0.3">
      <c r="A24" s="2">
        <v>45980</v>
      </c>
      <c r="B24">
        <v>165.41999816894531</v>
      </c>
      <c r="C24">
        <v>-1.148023825462288E-2</v>
      </c>
      <c r="D24">
        <v>1.4329365079365081E-4</v>
      </c>
      <c r="E24">
        <v>-1.1623531905416529E-2</v>
      </c>
    </row>
    <row r="25" spans="1:5" x14ac:dyDescent="0.3">
      <c r="A25" s="2">
        <v>45981</v>
      </c>
      <c r="B25">
        <v>155.7449951171875</v>
      </c>
      <c r="C25">
        <v>-6.0267660122436138E-2</v>
      </c>
      <c r="D25">
        <v>1.4329365079365081E-4</v>
      </c>
      <c r="E25">
        <v>-6.0410953773229789E-2</v>
      </c>
    </row>
    <row r="26" spans="1:5" x14ac:dyDescent="0.3">
      <c r="A26" s="2">
        <v>45982</v>
      </c>
      <c r="B26">
        <v>154.8500061035156</v>
      </c>
      <c r="C26">
        <v>-5.7630772373235594E-3</v>
      </c>
      <c r="D26">
        <v>1.4329365079365081E-4</v>
      </c>
      <c r="E26">
        <v>-5.9063708881172102E-3</v>
      </c>
    </row>
    <row r="27" spans="1:5" x14ac:dyDescent="0.3">
      <c r="A27" s="2">
        <v>45985</v>
      </c>
      <c r="B27">
        <v>162.25</v>
      </c>
      <c r="C27">
        <v>4.6681409749324061E-2</v>
      </c>
      <c r="D27">
        <v>1.4329365079365081E-4</v>
      </c>
      <c r="E27">
        <v>4.653811609853041E-2</v>
      </c>
    </row>
    <row r="28" spans="1:5" x14ac:dyDescent="0.3">
      <c r="A28" s="2">
        <v>45986</v>
      </c>
      <c r="B28">
        <v>163.55000305175781</v>
      </c>
      <c r="C28">
        <v>7.9804170596723956E-3</v>
      </c>
      <c r="D28">
        <v>1.4329365079365081E-4</v>
      </c>
      <c r="E28">
        <v>7.8371234088787448E-3</v>
      </c>
    </row>
    <row r="29" spans="1:5" x14ac:dyDescent="0.3">
      <c r="A29" s="2">
        <v>45987</v>
      </c>
      <c r="B29">
        <v>165.77000427246091</v>
      </c>
      <c r="C29">
        <v>1.3482538566329159E-2</v>
      </c>
      <c r="D29">
        <v>1.4329365079365081E-4</v>
      </c>
      <c r="E29">
        <v>1.333924491553551E-2</v>
      </c>
    </row>
    <row r="31" spans="1:5" x14ac:dyDescent="0.3">
      <c r="A31" t="s">
        <v>5</v>
      </c>
      <c r="B31">
        <v>1.5034177382149501E-3</v>
      </c>
    </row>
    <row r="32" spans="1:5" x14ac:dyDescent="0.3">
      <c r="A32" t="s">
        <v>6</v>
      </c>
      <c r="B32" s="3">
        <v>-6.9491945260559018E-2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45950</v>
      </c>
      <c r="B2">
        <v>216.47999572753909</v>
      </c>
      <c r="C2">
        <v>1.6018234695332659E-2</v>
      </c>
      <c r="D2">
        <v>1.4329365079365081E-4</v>
      </c>
      <c r="E2">
        <v>1.5874941044539001E-2</v>
      </c>
    </row>
    <row r="3" spans="1:5" x14ac:dyDescent="0.3">
      <c r="A3" s="2">
        <v>45951</v>
      </c>
      <c r="B3">
        <v>222.0299987792969</v>
      </c>
      <c r="C3">
        <v>2.5314357693141162E-2</v>
      </c>
      <c r="D3">
        <v>1.4329365079365081E-4</v>
      </c>
      <c r="E3">
        <v>2.5171064042347511E-2</v>
      </c>
    </row>
    <row r="4" spans="1:5" x14ac:dyDescent="0.3">
      <c r="A4" s="2">
        <v>45952</v>
      </c>
      <c r="B4">
        <v>217.94999694824219</v>
      </c>
      <c r="C4">
        <v>-1.854683769726401E-2</v>
      </c>
      <c r="D4">
        <v>1.4329365079365081E-4</v>
      </c>
      <c r="E4">
        <v>-1.8690131348057661E-2</v>
      </c>
    </row>
    <row r="5" spans="1:5" x14ac:dyDescent="0.3">
      <c r="A5" s="2">
        <v>45953</v>
      </c>
      <c r="B5">
        <v>221.0899963378906</v>
      </c>
      <c r="C5">
        <v>1.430417719094196E-2</v>
      </c>
      <c r="D5">
        <v>1.4329365079365081E-4</v>
      </c>
      <c r="E5">
        <v>1.4160883540148311E-2</v>
      </c>
    </row>
    <row r="6" spans="1:5" x14ac:dyDescent="0.3">
      <c r="A6" s="2">
        <v>45954</v>
      </c>
      <c r="B6">
        <v>224.21000671386719</v>
      </c>
      <c r="C6">
        <v>1.401330074768516E-2</v>
      </c>
      <c r="D6">
        <v>1.4329365079365081E-4</v>
      </c>
      <c r="E6">
        <v>1.3870007096891511E-2</v>
      </c>
    </row>
    <row r="7" spans="1:5" x14ac:dyDescent="0.3">
      <c r="A7" s="2">
        <v>45957</v>
      </c>
      <c r="B7">
        <v>226.9700012207031</v>
      </c>
      <c r="C7">
        <v>1.2234712914707929E-2</v>
      </c>
      <c r="D7">
        <v>1.4329365079365081E-4</v>
      </c>
      <c r="E7">
        <v>1.209141926391428E-2</v>
      </c>
    </row>
    <row r="8" spans="1:5" x14ac:dyDescent="0.3">
      <c r="A8" s="2">
        <v>45958</v>
      </c>
      <c r="B8">
        <v>229.25</v>
      </c>
      <c r="C8">
        <v>9.9952556009383631E-3</v>
      </c>
      <c r="D8">
        <v>1.4329365079365081E-4</v>
      </c>
      <c r="E8">
        <v>9.8519619501447123E-3</v>
      </c>
    </row>
    <row r="9" spans="1:5" x14ac:dyDescent="0.3">
      <c r="A9" s="2">
        <v>45959</v>
      </c>
      <c r="B9">
        <v>230.30000305175781</v>
      </c>
      <c r="C9">
        <v>4.5697089412932096E-3</v>
      </c>
      <c r="D9">
        <v>1.4329365079365081E-4</v>
      </c>
      <c r="E9">
        <v>4.4264152904995588E-3</v>
      </c>
    </row>
    <row r="10" spans="1:5" x14ac:dyDescent="0.3">
      <c r="A10" s="2">
        <v>45960</v>
      </c>
      <c r="B10">
        <v>222.86000061035159</v>
      </c>
      <c r="C10">
        <v>-3.2839045720237672E-2</v>
      </c>
      <c r="D10">
        <v>1.4329365079365081E-4</v>
      </c>
      <c r="E10">
        <v>-3.2982339371031323E-2</v>
      </c>
    </row>
    <row r="11" spans="1:5" x14ac:dyDescent="0.3">
      <c r="A11" s="2">
        <v>45961</v>
      </c>
      <c r="B11">
        <v>244.2200012207031</v>
      </c>
      <c r="C11">
        <v>9.1525689045620862E-2</v>
      </c>
      <c r="D11">
        <v>1.4329365079365081E-4</v>
      </c>
      <c r="E11">
        <v>9.1382395394827204E-2</v>
      </c>
    </row>
    <row r="12" spans="1:5" x14ac:dyDescent="0.3">
      <c r="A12" s="2">
        <v>45964</v>
      </c>
      <c r="B12">
        <v>254</v>
      </c>
      <c r="C12">
        <v>3.9264803615285837E-2</v>
      </c>
      <c r="D12">
        <v>1.4329365079365081E-4</v>
      </c>
      <c r="E12">
        <v>3.9121509964492193E-2</v>
      </c>
    </row>
    <row r="13" spans="1:5" x14ac:dyDescent="0.3">
      <c r="A13" s="2">
        <v>45965</v>
      </c>
      <c r="B13">
        <v>249.32000732421881</v>
      </c>
      <c r="C13">
        <v>-1.8597025701107321E-2</v>
      </c>
      <c r="D13">
        <v>1.4329365079365081E-4</v>
      </c>
      <c r="E13">
        <v>-1.8740319351900979E-2</v>
      </c>
    </row>
    <row r="14" spans="1:5" x14ac:dyDescent="0.3">
      <c r="A14" s="2">
        <v>45966</v>
      </c>
      <c r="B14">
        <v>250.19999694824219</v>
      </c>
      <c r="C14">
        <v>3.5233445181079431E-3</v>
      </c>
      <c r="D14">
        <v>1.4329365079365081E-4</v>
      </c>
      <c r="E14">
        <v>3.3800508673142919E-3</v>
      </c>
    </row>
    <row r="15" spans="1:5" x14ac:dyDescent="0.3">
      <c r="A15" s="2">
        <v>45967</v>
      </c>
      <c r="B15">
        <v>243.03999328613281</v>
      </c>
      <c r="C15">
        <v>-2.9034574612610751E-2</v>
      </c>
      <c r="D15">
        <v>1.4329365079365081E-4</v>
      </c>
      <c r="E15">
        <v>-2.9177868263404409E-2</v>
      </c>
    </row>
    <row r="16" spans="1:5" x14ac:dyDescent="0.3">
      <c r="A16" s="2">
        <v>45968</v>
      </c>
      <c r="B16">
        <v>244.4100036621094</v>
      </c>
      <c r="C16">
        <v>5.6211467512013473E-3</v>
      </c>
      <c r="D16">
        <v>1.4329365079365081E-4</v>
      </c>
      <c r="E16">
        <v>5.4778531004076956E-3</v>
      </c>
    </row>
    <row r="17" spans="1:5" x14ac:dyDescent="0.3">
      <c r="A17" s="2">
        <v>45971</v>
      </c>
      <c r="B17">
        <v>248.3999938964844</v>
      </c>
      <c r="C17">
        <v>1.61931675138767E-2</v>
      </c>
      <c r="D17">
        <v>1.4329365079365081E-4</v>
      </c>
      <c r="E17">
        <v>1.6049873863083049E-2</v>
      </c>
    </row>
    <row r="18" spans="1:5" x14ac:dyDescent="0.3">
      <c r="A18" s="2">
        <v>45972</v>
      </c>
      <c r="B18">
        <v>249.1000061035156</v>
      </c>
      <c r="C18">
        <v>2.8141212824006308E-3</v>
      </c>
      <c r="D18">
        <v>1.4329365079365081E-4</v>
      </c>
      <c r="E18">
        <v>2.67082763160698E-3</v>
      </c>
    </row>
    <row r="19" spans="1:5" x14ac:dyDescent="0.3">
      <c r="A19" s="2">
        <v>45973</v>
      </c>
      <c r="B19">
        <v>244.19999694824219</v>
      </c>
      <c r="C19">
        <v>-1.986689759076167E-2</v>
      </c>
      <c r="D19">
        <v>1.4329365079365081E-4</v>
      </c>
      <c r="E19">
        <v>-2.0010191241555321E-2</v>
      </c>
    </row>
    <row r="20" spans="1:5" x14ac:dyDescent="0.3">
      <c r="A20" s="2">
        <v>45974</v>
      </c>
      <c r="B20">
        <v>237.58000183105469</v>
      </c>
      <c r="C20">
        <v>-2.7483132611142099E-2</v>
      </c>
      <c r="D20">
        <v>1.4329365079365081E-4</v>
      </c>
      <c r="E20">
        <v>-2.762642626193575E-2</v>
      </c>
    </row>
    <row r="21" spans="1:5" x14ac:dyDescent="0.3">
      <c r="A21" s="2">
        <v>45975</v>
      </c>
      <c r="B21">
        <v>234.69000244140619</v>
      </c>
      <c r="C21">
        <v>-1.223891180071706E-2</v>
      </c>
      <c r="D21">
        <v>1.4329365079365081E-4</v>
      </c>
      <c r="E21">
        <v>-1.2382205451510709E-2</v>
      </c>
    </row>
    <row r="22" spans="1:5" x14ac:dyDescent="0.3">
      <c r="A22" s="2">
        <v>45978</v>
      </c>
      <c r="B22">
        <v>232.8699951171875</v>
      </c>
      <c r="C22">
        <v>-7.7851677906159416E-3</v>
      </c>
      <c r="D22">
        <v>1.4329365079365081E-4</v>
      </c>
      <c r="E22">
        <v>-7.9284614414095924E-3</v>
      </c>
    </row>
    <row r="23" spans="1:5" x14ac:dyDescent="0.3">
      <c r="A23" s="2">
        <v>45979</v>
      </c>
      <c r="B23">
        <v>222.55000305175781</v>
      </c>
      <c r="C23">
        <v>-4.5328527802621192E-2</v>
      </c>
      <c r="D23">
        <v>1.4329365079365081E-4</v>
      </c>
      <c r="E23">
        <v>-4.5471821453414843E-2</v>
      </c>
    </row>
    <row r="24" spans="1:5" x14ac:dyDescent="0.3">
      <c r="A24" s="2">
        <v>45980</v>
      </c>
      <c r="B24">
        <v>222.69000244140619</v>
      </c>
      <c r="C24">
        <v>6.2887158626849461E-4</v>
      </c>
      <c r="D24">
        <v>1.4329365079365081E-4</v>
      </c>
      <c r="E24">
        <v>4.855779354748438E-4</v>
      </c>
    </row>
    <row r="25" spans="1:5" x14ac:dyDescent="0.3">
      <c r="A25" s="2">
        <v>45981</v>
      </c>
      <c r="B25">
        <v>217.13999938964841</v>
      </c>
      <c r="C25">
        <v>-2.5238376767976151E-2</v>
      </c>
      <c r="D25">
        <v>1.4329365079365081E-4</v>
      </c>
      <c r="E25">
        <v>-2.5381670418769799E-2</v>
      </c>
    </row>
    <row r="26" spans="1:5" x14ac:dyDescent="0.3">
      <c r="A26" s="2">
        <v>45982</v>
      </c>
      <c r="B26">
        <v>220.69000244140619</v>
      </c>
      <c r="C26">
        <v>1.621670892983362E-2</v>
      </c>
      <c r="D26">
        <v>1.4329365079365081E-4</v>
      </c>
      <c r="E26">
        <v>1.6073415279039969E-2</v>
      </c>
    </row>
    <row r="27" spans="1:5" x14ac:dyDescent="0.3">
      <c r="A27" s="2">
        <v>45985</v>
      </c>
      <c r="B27">
        <v>226.2799987792969</v>
      </c>
      <c r="C27">
        <v>2.5014152157624071E-2</v>
      </c>
      <c r="D27">
        <v>1.4329365079365081E-4</v>
      </c>
      <c r="E27">
        <v>2.4870858506830421E-2</v>
      </c>
    </row>
    <row r="28" spans="1:5" x14ac:dyDescent="0.3">
      <c r="A28" s="2">
        <v>45986</v>
      </c>
      <c r="B28">
        <v>229.66999816894531</v>
      </c>
      <c r="C28">
        <v>1.487032297548011E-2</v>
      </c>
      <c r="D28">
        <v>1.4329365079365081E-4</v>
      </c>
      <c r="E28">
        <v>1.4727029324686461E-2</v>
      </c>
    </row>
    <row r="29" spans="1:5" x14ac:dyDescent="0.3">
      <c r="A29" s="2">
        <v>45987</v>
      </c>
      <c r="B29">
        <v>229.1600036621094</v>
      </c>
      <c r="C29">
        <v>-2.2230225348219162E-3</v>
      </c>
      <c r="D29">
        <v>1.4329365079365081E-4</v>
      </c>
      <c r="E29">
        <v>-2.366316185615567E-3</v>
      </c>
    </row>
    <row r="31" spans="1:5" x14ac:dyDescent="0.3">
      <c r="A31" t="s">
        <v>5</v>
      </c>
      <c r="B31">
        <v>7.1815321232600088E-4</v>
      </c>
    </row>
    <row r="32" spans="1:5" x14ac:dyDescent="0.3">
      <c r="A32" t="s">
        <v>6</v>
      </c>
      <c r="B32" s="3">
        <v>7.5666592583515158E-2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45950</v>
      </c>
      <c r="B2">
        <v>447.42999267578119</v>
      </c>
      <c r="C2">
        <v>1.831477587612344E-2</v>
      </c>
      <c r="D2">
        <v>1.4329365079365081E-4</v>
      </c>
      <c r="E2">
        <v>1.8171482225329789E-2</v>
      </c>
    </row>
    <row r="3" spans="1:5" x14ac:dyDescent="0.3">
      <c r="A3" s="2">
        <v>45951</v>
      </c>
      <c r="B3">
        <v>442.60000610351563</v>
      </c>
      <c r="C3">
        <v>-1.085364312168525E-2</v>
      </c>
      <c r="D3">
        <v>1.4329365079365081E-4</v>
      </c>
      <c r="E3">
        <v>-1.0996936772478901E-2</v>
      </c>
    </row>
    <row r="4" spans="1:5" x14ac:dyDescent="0.3">
      <c r="A4" s="2">
        <v>45952</v>
      </c>
      <c r="B4">
        <v>438.97000122070313</v>
      </c>
      <c r="C4">
        <v>-8.235365016010689E-3</v>
      </c>
      <c r="D4">
        <v>1.4329365079365081E-4</v>
      </c>
      <c r="E4">
        <v>-8.3786586668043398E-3</v>
      </c>
    </row>
    <row r="5" spans="1:5" x14ac:dyDescent="0.3">
      <c r="A5" s="2">
        <v>45953</v>
      </c>
      <c r="B5">
        <v>448.98001098632813</v>
      </c>
      <c r="C5">
        <v>2.2547291398770951E-2</v>
      </c>
      <c r="D5">
        <v>1.4329365079365081E-4</v>
      </c>
      <c r="E5">
        <v>2.24039977479773E-2</v>
      </c>
    </row>
    <row r="6" spans="1:5" x14ac:dyDescent="0.3">
      <c r="A6" s="2">
        <v>45954</v>
      </c>
      <c r="B6">
        <v>433.72000122070313</v>
      </c>
      <c r="C6">
        <v>-3.4579200371371667E-2</v>
      </c>
      <c r="D6">
        <v>1.4329365079365081E-4</v>
      </c>
      <c r="E6">
        <v>-3.4722494022165318E-2</v>
      </c>
    </row>
    <row r="7" spans="1:5" x14ac:dyDescent="0.3">
      <c r="A7" s="2">
        <v>45957</v>
      </c>
      <c r="B7">
        <v>452.42001342773438</v>
      </c>
      <c r="C7">
        <v>4.2211814191010492E-2</v>
      </c>
      <c r="D7">
        <v>1.4329365079365081E-4</v>
      </c>
      <c r="E7">
        <v>4.2068520540216828E-2</v>
      </c>
    </row>
    <row r="8" spans="1:5" x14ac:dyDescent="0.3">
      <c r="A8" s="2">
        <v>45958</v>
      </c>
      <c r="B8">
        <v>460.54998779296881</v>
      </c>
      <c r="C8">
        <v>1.7810419319423461E-2</v>
      </c>
      <c r="D8">
        <v>1.4329365079365081E-4</v>
      </c>
      <c r="E8">
        <v>1.766712566862981E-2</v>
      </c>
    </row>
    <row r="9" spans="1:5" x14ac:dyDescent="0.3">
      <c r="A9" s="2">
        <v>45959</v>
      </c>
      <c r="B9">
        <v>461.510009765625</v>
      </c>
      <c r="C9">
        <v>2.0823424117695109E-3</v>
      </c>
      <c r="D9">
        <v>1.4329365079365081E-4</v>
      </c>
      <c r="E9">
        <v>1.9390487609758601E-3</v>
      </c>
    </row>
    <row r="10" spans="1:5" x14ac:dyDescent="0.3">
      <c r="A10" s="2">
        <v>45960</v>
      </c>
      <c r="B10">
        <v>440.10000610351563</v>
      </c>
      <c r="C10">
        <v>-4.7501755655160287E-2</v>
      </c>
      <c r="D10">
        <v>1.4329365079365081E-4</v>
      </c>
      <c r="E10">
        <v>-4.7645049305953938E-2</v>
      </c>
    </row>
    <row r="11" spans="1:5" x14ac:dyDescent="0.3">
      <c r="A11" s="2">
        <v>45961</v>
      </c>
      <c r="B11">
        <v>456.55999755859381</v>
      </c>
      <c r="C11">
        <v>3.671813319553837E-2</v>
      </c>
      <c r="D11">
        <v>1.4329365079365081E-4</v>
      </c>
      <c r="E11">
        <v>3.6574839544744719E-2</v>
      </c>
    </row>
    <row r="12" spans="1:5" x14ac:dyDescent="0.3">
      <c r="A12" s="2">
        <v>45964</v>
      </c>
      <c r="B12">
        <v>468.3699951171875</v>
      </c>
      <c r="C12">
        <v>2.5538450543862379E-2</v>
      </c>
      <c r="D12">
        <v>1.4329365079365081E-4</v>
      </c>
      <c r="E12">
        <v>2.5395156893068729E-2</v>
      </c>
    </row>
    <row r="13" spans="1:5" x14ac:dyDescent="0.3">
      <c r="A13" s="2">
        <v>45965</v>
      </c>
      <c r="B13">
        <v>444.260009765625</v>
      </c>
      <c r="C13">
        <v>-5.2848572813665999E-2</v>
      </c>
      <c r="D13">
        <v>1.4329365079365081E-4</v>
      </c>
      <c r="E13">
        <v>-5.299186646445965E-2</v>
      </c>
    </row>
    <row r="14" spans="1:5" x14ac:dyDescent="0.3">
      <c r="A14" s="2">
        <v>45966</v>
      </c>
      <c r="B14">
        <v>462.07000732421881</v>
      </c>
      <c r="C14">
        <v>3.9306411995623389E-2</v>
      </c>
      <c r="D14">
        <v>1.4329365079365081E-4</v>
      </c>
      <c r="E14">
        <v>3.9163118344829738E-2</v>
      </c>
    </row>
    <row r="15" spans="1:5" x14ac:dyDescent="0.3">
      <c r="A15" s="2">
        <v>45967</v>
      </c>
      <c r="B15">
        <v>445.91000366210938</v>
      </c>
      <c r="C15">
        <v>-3.5599264459215102E-2</v>
      </c>
      <c r="D15">
        <v>1.4329365079365081E-4</v>
      </c>
      <c r="E15">
        <v>-3.5742558110008753E-2</v>
      </c>
    </row>
    <row r="16" spans="1:5" x14ac:dyDescent="0.3">
      <c r="A16" s="2">
        <v>45968</v>
      </c>
      <c r="B16">
        <v>429.51998901367188</v>
      </c>
      <c r="C16">
        <v>-3.7448865611502118E-2</v>
      </c>
      <c r="D16">
        <v>1.4329365079365081E-4</v>
      </c>
      <c r="E16">
        <v>-3.7592159262295768E-2</v>
      </c>
    </row>
    <row r="17" spans="1:5" x14ac:dyDescent="0.3">
      <c r="A17" s="2">
        <v>45971</v>
      </c>
      <c r="B17">
        <v>445.23001098632813</v>
      </c>
      <c r="C17">
        <v>3.5922746715299277E-2</v>
      </c>
      <c r="D17">
        <v>1.4329365079365081E-4</v>
      </c>
      <c r="E17">
        <v>3.5779453064505633E-2</v>
      </c>
    </row>
    <row r="18" spans="1:5" x14ac:dyDescent="0.3">
      <c r="A18" s="2">
        <v>45972</v>
      </c>
      <c r="B18">
        <v>439.6199951171875</v>
      </c>
      <c r="C18">
        <v>-1.2680320958426441E-2</v>
      </c>
      <c r="D18">
        <v>1.4329365079365081E-4</v>
      </c>
      <c r="E18">
        <v>-1.282361460922009E-2</v>
      </c>
    </row>
    <row r="19" spans="1:5" x14ac:dyDescent="0.3">
      <c r="A19" s="2">
        <v>45973</v>
      </c>
      <c r="B19">
        <v>430.60000610351563</v>
      </c>
      <c r="C19">
        <v>-2.0731107188327338E-2</v>
      </c>
      <c r="D19">
        <v>1.4329365079365081E-4</v>
      </c>
      <c r="E19">
        <v>-2.0874400839120989E-2</v>
      </c>
    </row>
    <row r="20" spans="1:5" x14ac:dyDescent="0.3">
      <c r="A20" s="2">
        <v>45974</v>
      </c>
      <c r="B20">
        <v>401.989990234375</v>
      </c>
      <c r="C20">
        <v>-6.8752410710183676E-2</v>
      </c>
      <c r="D20">
        <v>1.4329365079365081E-4</v>
      </c>
      <c r="E20">
        <v>-6.8895704360977333E-2</v>
      </c>
    </row>
    <row r="21" spans="1:5" x14ac:dyDescent="0.3">
      <c r="A21" s="2">
        <v>45975</v>
      </c>
      <c r="B21">
        <v>404.35000610351563</v>
      </c>
      <c r="C21">
        <v>5.8536662419428733E-3</v>
      </c>
      <c r="D21">
        <v>1.4329365079365081E-4</v>
      </c>
      <c r="E21">
        <v>5.7103725911492216E-3</v>
      </c>
    </row>
    <row r="22" spans="1:5" x14ac:dyDescent="0.3">
      <c r="A22" s="2">
        <v>45978</v>
      </c>
      <c r="B22">
        <v>408.92001342773438</v>
      </c>
      <c r="C22">
        <v>1.1238716089416029E-2</v>
      </c>
      <c r="D22">
        <v>1.4329365079365081E-4</v>
      </c>
      <c r="E22">
        <v>1.109542243862238E-2</v>
      </c>
    </row>
    <row r="23" spans="1:5" x14ac:dyDescent="0.3">
      <c r="A23" s="2">
        <v>45979</v>
      </c>
      <c r="B23">
        <v>401.25</v>
      </c>
      <c r="C23">
        <v>-1.8934896281656489E-2</v>
      </c>
      <c r="D23">
        <v>1.4329365079365081E-4</v>
      </c>
      <c r="E23">
        <v>-1.907818993245014E-2</v>
      </c>
    </row>
    <row r="24" spans="1:5" x14ac:dyDescent="0.3">
      <c r="A24" s="2">
        <v>45980</v>
      </c>
      <c r="B24">
        <v>403.989990234375</v>
      </c>
      <c r="C24">
        <v>6.8054265623916626E-3</v>
      </c>
      <c r="D24">
        <v>1.4329365079365081E-4</v>
      </c>
      <c r="E24">
        <v>6.6621329115980118E-3</v>
      </c>
    </row>
    <row r="25" spans="1:5" x14ac:dyDescent="0.3">
      <c r="A25" s="2">
        <v>45981</v>
      </c>
      <c r="B25">
        <v>395.23001098632813</v>
      </c>
      <c r="C25">
        <v>-2.1922199285516541E-2</v>
      </c>
      <c r="D25">
        <v>1.4329365079365081E-4</v>
      </c>
      <c r="E25">
        <v>-2.2065492936310192E-2</v>
      </c>
    </row>
    <row r="26" spans="1:5" x14ac:dyDescent="0.3">
      <c r="A26" s="2">
        <v>45982</v>
      </c>
      <c r="B26">
        <v>391.08999633789063</v>
      </c>
      <c r="C26">
        <v>-1.053019855858329E-2</v>
      </c>
      <c r="D26">
        <v>1.4329365079365081E-4</v>
      </c>
      <c r="E26">
        <v>-1.0673492209376941E-2</v>
      </c>
    </row>
    <row r="27" spans="1:5" x14ac:dyDescent="0.3">
      <c r="A27" s="2">
        <v>45985</v>
      </c>
      <c r="B27">
        <v>417.77999877929688</v>
      </c>
      <c r="C27">
        <v>6.60172720981127E-2</v>
      </c>
      <c r="D27">
        <v>1.4329365079365081E-4</v>
      </c>
      <c r="E27">
        <v>6.5873978447319043E-2</v>
      </c>
    </row>
    <row r="28" spans="1:5" x14ac:dyDescent="0.3">
      <c r="A28" s="2">
        <v>45986</v>
      </c>
      <c r="B28">
        <v>419.39999389648438</v>
      </c>
      <c r="C28">
        <v>3.8701286542193549E-3</v>
      </c>
      <c r="D28">
        <v>1.4329365079365081E-4</v>
      </c>
      <c r="E28">
        <v>3.7268350034257041E-3</v>
      </c>
    </row>
    <row r="29" spans="1:5" x14ac:dyDescent="0.3">
      <c r="A29" s="2">
        <v>45987</v>
      </c>
      <c r="B29">
        <v>426.57998657226563</v>
      </c>
      <c r="C29">
        <v>1.6974787220379931E-2</v>
      </c>
      <c r="D29">
        <v>1.4329365079365081E-4</v>
      </c>
      <c r="E29">
        <v>1.683149356958628E-2</v>
      </c>
    </row>
    <row r="31" spans="1:5" x14ac:dyDescent="0.3">
      <c r="A31" t="s">
        <v>5</v>
      </c>
      <c r="B31">
        <v>1.0366072026210479E-3</v>
      </c>
    </row>
    <row r="32" spans="1:5" x14ac:dyDescent="0.3">
      <c r="A32" t="s">
        <v>6</v>
      </c>
      <c r="B32" s="3">
        <v>-2.8977284962949931E-2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45950</v>
      </c>
      <c r="B2">
        <v>277.17999267578119</v>
      </c>
      <c r="C2">
        <v>-4.9720895649358617E-2</v>
      </c>
      <c r="D2">
        <v>1.4329365079365081E-4</v>
      </c>
      <c r="E2">
        <v>-4.9864189300152267E-2</v>
      </c>
    </row>
    <row r="3" spans="1:5" x14ac:dyDescent="0.3">
      <c r="A3" s="2">
        <v>45951</v>
      </c>
      <c r="B3">
        <v>275.14999389648438</v>
      </c>
      <c r="C3">
        <v>-7.3507068933392223E-3</v>
      </c>
      <c r="D3">
        <v>1.4329365079365081E-4</v>
      </c>
      <c r="E3">
        <v>-7.4940005441328731E-3</v>
      </c>
    </row>
    <row r="4" spans="1:5" x14ac:dyDescent="0.3">
      <c r="A4" s="2">
        <v>45952</v>
      </c>
      <c r="B4">
        <v>272.66000366210938</v>
      </c>
      <c r="C4">
        <v>-9.0907701342339657E-3</v>
      </c>
      <c r="D4">
        <v>1.4329365079365081E-4</v>
      </c>
      <c r="E4">
        <v>-9.2340637850276165E-3</v>
      </c>
    </row>
    <row r="5" spans="1:5" x14ac:dyDescent="0.3">
      <c r="A5" s="2">
        <v>45953</v>
      </c>
      <c r="B5">
        <v>280.07000732421881</v>
      </c>
      <c r="C5">
        <v>2.6813986886812049E-2</v>
      </c>
      <c r="D5">
        <v>1.4329365079365081E-4</v>
      </c>
      <c r="E5">
        <v>2.6670693236018402E-2</v>
      </c>
    </row>
    <row r="6" spans="1:5" x14ac:dyDescent="0.3">
      <c r="A6" s="2">
        <v>45954</v>
      </c>
      <c r="B6">
        <v>283.32998657226563</v>
      </c>
      <c r="C6">
        <v>1.1572650572760161E-2</v>
      </c>
      <c r="D6">
        <v>1.4329365079365081E-4</v>
      </c>
      <c r="E6">
        <v>1.142935692196651E-2</v>
      </c>
    </row>
    <row r="7" spans="1:5" x14ac:dyDescent="0.3">
      <c r="A7" s="2">
        <v>45957</v>
      </c>
      <c r="B7">
        <v>281.39999389648438</v>
      </c>
      <c r="C7">
        <v>-6.8351256581356181E-3</v>
      </c>
      <c r="D7">
        <v>1.4329365079365081E-4</v>
      </c>
      <c r="E7">
        <v>-6.9784193089292689E-3</v>
      </c>
    </row>
    <row r="8" spans="1:5" x14ac:dyDescent="0.3">
      <c r="A8" s="2">
        <v>45958</v>
      </c>
      <c r="B8">
        <v>280.82998657226563</v>
      </c>
      <c r="C8">
        <v>-2.0276667531640702E-3</v>
      </c>
      <c r="D8">
        <v>1.4329365079365081E-4</v>
      </c>
      <c r="E8">
        <v>-2.170960403957721E-3</v>
      </c>
    </row>
    <row r="9" spans="1:5" x14ac:dyDescent="0.3">
      <c r="A9" s="2">
        <v>45959</v>
      </c>
      <c r="B9">
        <v>275.29998779296881</v>
      </c>
      <c r="C9">
        <v>-1.9888088429575481E-2</v>
      </c>
      <c r="D9">
        <v>1.4329365079365081E-4</v>
      </c>
      <c r="E9">
        <v>-2.0031382080369128E-2</v>
      </c>
    </row>
    <row r="10" spans="1:5" x14ac:dyDescent="0.3">
      <c r="A10" s="2">
        <v>45960</v>
      </c>
      <c r="B10">
        <v>256.8900146484375</v>
      </c>
      <c r="C10">
        <v>-6.9213333079301484E-2</v>
      </c>
      <c r="D10">
        <v>1.4329365079365081E-4</v>
      </c>
      <c r="E10">
        <v>-6.9356626730095128E-2</v>
      </c>
    </row>
    <row r="11" spans="1:5" x14ac:dyDescent="0.3">
      <c r="A11" s="2">
        <v>45961</v>
      </c>
      <c r="B11">
        <v>262.6099853515625</v>
      </c>
      <c r="C11">
        <v>2.2021951366168389E-2</v>
      </c>
      <c r="D11">
        <v>1.4329365079365081E-4</v>
      </c>
      <c r="E11">
        <v>2.1878657715374741E-2</v>
      </c>
    </row>
    <row r="12" spans="1:5" x14ac:dyDescent="0.3">
      <c r="A12" s="2">
        <v>45964</v>
      </c>
      <c r="B12">
        <v>257.85000610351563</v>
      </c>
      <c r="C12">
        <v>-1.829194192682769E-2</v>
      </c>
      <c r="D12">
        <v>1.4329365079365081E-4</v>
      </c>
      <c r="E12">
        <v>-1.8435235577621341E-2</v>
      </c>
    </row>
    <row r="13" spans="1:5" x14ac:dyDescent="0.3">
      <c r="A13" s="2">
        <v>45965</v>
      </c>
      <c r="B13">
        <v>248.16999816894531</v>
      </c>
      <c r="C13">
        <v>-3.8264056346801453E-2</v>
      </c>
      <c r="D13">
        <v>1.4329365079365081E-4</v>
      </c>
      <c r="E13">
        <v>-3.8407349997595097E-2</v>
      </c>
    </row>
    <row r="14" spans="1:5" x14ac:dyDescent="0.3">
      <c r="A14" s="2">
        <v>45966</v>
      </c>
      <c r="B14">
        <v>250.30999755859381</v>
      </c>
      <c r="C14">
        <v>8.5861521227009567E-3</v>
      </c>
      <c r="D14">
        <v>1.4329365079365081E-4</v>
      </c>
      <c r="E14">
        <v>8.4428584719073059E-3</v>
      </c>
    </row>
    <row r="15" spans="1:5" x14ac:dyDescent="0.3">
      <c r="A15" s="2">
        <v>45967</v>
      </c>
      <c r="B15">
        <v>243.80000305175781</v>
      </c>
      <c r="C15">
        <v>-2.635191037903117E-2</v>
      </c>
      <c r="D15">
        <v>1.4329365079365081E-4</v>
      </c>
      <c r="E15">
        <v>-2.6495204029824821E-2</v>
      </c>
    </row>
    <row r="16" spans="1:5" x14ac:dyDescent="0.3">
      <c r="A16" s="2">
        <v>45968</v>
      </c>
      <c r="B16">
        <v>239.25999450683591</v>
      </c>
      <c r="C16">
        <v>-1.8797425780851369E-2</v>
      </c>
      <c r="D16">
        <v>1.4329365079365081E-4</v>
      </c>
      <c r="E16">
        <v>-1.894071943164502E-2</v>
      </c>
    </row>
    <row r="17" spans="1:5" x14ac:dyDescent="0.3">
      <c r="A17" s="2">
        <v>45971</v>
      </c>
      <c r="B17">
        <v>240.83000183105469</v>
      </c>
      <c r="C17">
        <v>6.5404942115588017E-3</v>
      </c>
      <c r="D17">
        <v>1.4329365079365081E-4</v>
      </c>
      <c r="E17">
        <v>6.3972005607651509E-3</v>
      </c>
    </row>
    <row r="18" spans="1:5" x14ac:dyDescent="0.3">
      <c r="A18" s="2">
        <v>45972</v>
      </c>
      <c r="B18">
        <v>236.1499938964844</v>
      </c>
      <c r="C18">
        <v>-1.9624127499144051E-2</v>
      </c>
      <c r="D18">
        <v>1.4329365079365081E-4</v>
      </c>
      <c r="E18">
        <v>-1.9767421149937701E-2</v>
      </c>
    </row>
    <row r="19" spans="1:5" x14ac:dyDescent="0.3">
      <c r="A19" s="2">
        <v>45973</v>
      </c>
      <c r="B19">
        <v>226.99000549316409</v>
      </c>
      <c r="C19">
        <v>-3.9561182648561857E-2</v>
      </c>
      <c r="D19">
        <v>1.4329365079365081E-4</v>
      </c>
      <c r="E19">
        <v>-3.9704476299355522E-2</v>
      </c>
    </row>
    <row r="20" spans="1:5" x14ac:dyDescent="0.3">
      <c r="A20" s="2">
        <v>45974</v>
      </c>
      <c r="B20">
        <v>217.57000732421881</v>
      </c>
      <c r="C20">
        <v>-4.2385316353791898E-2</v>
      </c>
      <c r="D20">
        <v>1.4329365079365081E-4</v>
      </c>
      <c r="E20">
        <v>-4.2528610004585563E-2</v>
      </c>
    </row>
    <row r="21" spans="1:5" x14ac:dyDescent="0.3">
      <c r="A21" s="2">
        <v>45975</v>
      </c>
      <c r="B21">
        <v>222.8500061035156</v>
      </c>
      <c r="C21">
        <v>2.3978255287167231E-2</v>
      </c>
      <c r="D21">
        <v>1.4329365079365081E-4</v>
      </c>
      <c r="E21">
        <v>2.3834961636373581E-2</v>
      </c>
    </row>
    <row r="22" spans="1:5" x14ac:dyDescent="0.3">
      <c r="A22" s="2">
        <v>45978</v>
      </c>
      <c r="B22">
        <v>219.86000061035159</v>
      </c>
      <c r="C22">
        <v>-1.350794385420283E-2</v>
      </c>
      <c r="D22">
        <v>1.4329365079365081E-4</v>
      </c>
      <c r="E22">
        <v>-1.365123750499648E-2</v>
      </c>
    </row>
    <row r="23" spans="1:5" x14ac:dyDescent="0.3">
      <c r="A23" s="2">
        <v>45979</v>
      </c>
      <c r="B23">
        <v>220.49000549316409</v>
      </c>
      <c r="C23">
        <v>2.8613843711971271E-3</v>
      </c>
      <c r="D23">
        <v>1.4329365079365081E-4</v>
      </c>
      <c r="E23">
        <v>2.7180907204034759E-3</v>
      </c>
    </row>
    <row r="24" spans="1:5" x14ac:dyDescent="0.3">
      <c r="A24" s="2">
        <v>45980</v>
      </c>
      <c r="B24">
        <v>225.5299987792969</v>
      </c>
      <c r="C24">
        <v>2.2600815077412659E-2</v>
      </c>
      <c r="D24">
        <v>1.4329365079365081E-4</v>
      </c>
      <c r="E24">
        <v>2.2457521426619009E-2</v>
      </c>
    </row>
    <row r="25" spans="1:5" x14ac:dyDescent="0.3">
      <c r="A25" s="2">
        <v>45981</v>
      </c>
      <c r="B25">
        <v>210.69000244140619</v>
      </c>
      <c r="C25">
        <v>-6.8065311948710586E-2</v>
      </c>
      <c r="D25">
        <v>1.4329365079365081E-4</v>
      </c>
      <c r="E25">
        <v>-6.820860559950423E-2</v>
      </c>
    </row>
    <row r="26" spans="1:5" x14ac:dyDescent="0.3">
      <c r="A26" s="2">
        <v>45982</v>
      </c>
      <c r="B26">
        <v>198.75999450683591</v>
      </c>
      <c r="C26">
        <v>-5.8289831329760351E-2</v>
      </c>
      <c r="D26">
        <v>1.4329365079365081E-4</v>
      </c>
      <c r="E26">
        <v>-5.8433124980554002E-2</v>
      </c>
    </row>
    <row r="27" spans="1:5" x14ac:dyDescent="0.3">
      <c r="A27" s="2">
        <v>45985</v>
      </c>
      <c r="B27">
        <v>200.2799987792969</v>
      </c>
      <c r="C27">
        <v>7.6183422698127088E-3</v>
      </c>
      <c r="D27">
        <v>1.4329365079365081E-4</v>
      </c>
      <c r="E27">
        <v>7.475048619019058E-3</v>
      </c>
    </row>
    <row r="28" spans="1:5" x14ac:dyDescent="0.3">
      <c r="A28" s="2">
        <v>45986</v>
      </c>
      <c r="B28">
        <v>197.0299987792969</v>
      </c>
      <c r="C28">
        <v>-1.6360386154404081E-2</v>
      </c>
      <c r="D28">
        <v>1.4329365079365081E-4</v>
      </c>
      <c r="E28">
        <v>-1.6503679805197732E-2</v>
      </c>
    </row>
    <row r="29" spans="1:5" x14ac:dyDescent="0.3">
      <c r="A29" s="2">
        <v>45987</v>
      </c>
      <c r="B29">
        <v>204.96000671386719</v>
      </c>
      <c r="C29">
        <v>3.9458875693029589E-2</v>
      </c>
      <c r="D29">
        <v>1.4329365079365081E-4</v>
      </c>
      <c r="E29">
        <v>3.9315582042235939E-2</v>
      </c>
    </row>
    <row r="31" spans="1:5" x14ac:dyDescent="0.3">
      <c r="A31" t="s">
        <v>5</v>
      </c>
      <c r="B31">
        <v>8.3957666152873552E-4</v>
      </c>
    </row>
    <row r="32" spans="1:5" x14ac:dyDescent="0.3">
      <c r="A32" t="s">
        <v>6</v>
      </c>
      <c r="B32" s="3">
        <v>-0.29641959276512059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45950</v>
      </c>
      <c r="B2">
        <v>70.580001831054688</v>
      </c>
      <c r="C2">
        <v>0.30627267000754188</v>
      </c>
      <c r="D2">
        <v>1.4329365079365081E-4</v>
      </c>
      <c r="E2">
        <v>0.30612937635674831</v>
      </c>
    </row>
    <row r="3" spans="1:5" x14ac:dyDescent="0.3">
      <c r="A3" s="2">
        <v>45951</v>
      </c>
      <c r="B3">
        <v>65.5</v>
      </c>
      <c r="C3">
        <v>-7.4696701548885566E-2</v>
      </c>
      <c r="D3">
        <v>1.4329365079365081E-4</v>
      </c>
      <c r="E3">
        <v>-7.483999519967921E-2</v>
      </c>
    </row>
    <row r="4" spans="1:5" x14ac:dyDescent="0.3">
      <c r="A4" s="2">
        <v>45952</v>
      </c>
      <c r="B4">
        <v>70.040000915527344</v>
      </c>
      <c r="C4">
        <v>6.7016377847937444E-2</v>
      </c>
      <c r="D4">
        <v>1.4329365079365081E-4</v>
      </c>
      <c r="E4">
        <v>6.6873084197143801E-2</v>
      </c>
    </row>
    <row r="5" spans="1:5" x14ac:dyDescent="0.3">
      <c r="A5" s="2">
        <v>45953</v>
      </c>
      <c r="B5">
        <v>70.569999694824219</v>
      </c>
      <c r="C5">
        <v>7.5386001991544207E-3</v>
      </c>
      <c r="D5">
        <v>1.4329365079365081E-4</v>
      </c>
      <c r="E5">
        <v>7.3953065483607699E-3</v>
      </c>
    </row>
    <row r="6" spans="1:5" x14ac:dyDescent="0.3">
      <c r="A6" s="2">
        <v>45954</v>
      </c>
      <c r="B6">
        <v>70.970001220703125</v>
      </c>
      <c r="C6">
        <v>5.652149048862758E-3</v>
      </c>
      <c r="D6">
        <v>1.4329365079365081E-4</v>
      </c>
      <c r="E6">
        <v>5.5088553980691072E-3</v>
      </c>
    </row>
    <row r="7" spans="1:5" x14ac:dyDescent="0.3">
      <c r="A7" s="2">
        <v>45957</v>
      </c>
      <c r="B7">
        <v>77.510002136230469</v>
      </c>
      <c r="C7">
        <v>8.8149718116966688E-2</v>
      </c>
      <c r="D7">
        <v>1.4329365079365081E-4</v>
      </c>
      <c r="E7">
        <v>8.8006424466173044E-2</v>
      </c>
    </row>
    <row r="8" spans="1:5" x14ac:dyDescent="0.3">
      <c r="A8" s="2">
        <v>45958</v>
      </c>
      <c r="B8">
        <v>74.44000244140625</v>
      </c>
      <c r="C8">
        <v>-4.0413523283110729E-2</v>
      </c>
      <c r="D8">
        <v>1.4329365079365081E-4</v>
      </c>
      <c r="E8">
        <v>-4.055681693390438E-2</v>
      </c>
    </row>
    <row r="9" spans="1:5" x14ac:dyDescent="0.3">
      <c r="A9" s="2">
        <v>45959</v>
      </c>
      <c r="B9">
        <v>74</v>
      </c>
      <c r="C9">
        <v>-5.9283713668470241E-3</v>
      </c>
      <c r="D9">
        <v>1.4329365079365081E-4</v>
      </c>
      <c r="E9">
        <v>-6.0716650176406749E-3</v>
      </c>
    </row>
    <row r="10" spans="1:5" x14ac:dyDescent="0.3">
      <c r="A10" s="2">
        <v>45960</v>
      </c>
      <c r="B10">
        <v>78.959999084472656</v>
      </c>
      <c r="C10">
        <v>6.4876290326231711E-2</v>
      </c>
      <c r="D10">
        <v>1.4329365079365081E-4</v>
      </c>
      <c r="E10">
        <v>6.4732996675438054E-2</v>
      </c>
    </row>
    <row r="11" spans="1:5" x14ac:dyDescent="0.3">
      <c r="A11" s="2">
        <v>45961</v>
      </c>
      <c r="B11">
        <v>77.160003662109375</v>
      </c>
      <c r="C11">
        <v>-2.3060148031633119E-2</v>
      </c>
      <c r="D11">
        <v>1.4329365079365081E-4</v>
      </c>
      <c r="E11">
        <v>-2.320344168242677E-2</v>
      </c>
    </row>
    <row r="12" spans="1:5" x14ac:dyDescent="0.3">
      <c r="A12" s="2">
        <v>45964</v>
      </c>
      <c r="B12">
        <v>75.19000244140625</v>
      </c>
      <c r="C12">
        <v>-2.586295963900704E-2</v>
      </c>
      <c r="D12">
        <v>1.4329365079365081E-4</v>
      </c>
      <c r="E12">
        <v>-2.600625328980069E-2</v>
      </c>
    </row>
    <row r="13" spans="1:5" x14ac:dyDescent="0.3">
      <c r="A13" s="2">
        <v>45965</v>
      </c>
      <c r="B13">
        <v>72.989997863769531</v>
      </c>
      <c r="C13">
        <v>-2.9695859663661311E-2</v>
      </c>
      <c r="D13">
        <v>1.4329365079365081E-4</v>
      </c>
      <c r="E13">
        <v>-2.9839153314454959E-2</v>
      </c>
    </row>
    <row r="14" spans="1:5" x14ac:dyDescent="0.3">
      <c r="A14" s="2">
        <v>45966</v>
      </c>
      <c r="B14">
        <v>74.589996337890625</v>
      </c>
      <c r="C14">
        <v>2.1683984674451082E-2</v>
      </c>
      <c r="D14">
        <v>1.4329365079365081E-4</v>
      </c>
      <c r="E14">
        <v>2.1540691023657431E-2</v>
      </c>
    </row>
    <row r="15" spans="1:5" x14ac:dyDescent="0.3">
      <c r="A15" s="2">
        <v>45967</v>
      </c>
      <c r="B15">
        <v>74.199996948242188</v>
      </c>
      <c r="C15">
        <v>-5.2422918260289081E-3</v>
      </c>
      <c r="D15">
        <v>1.4329365079365081E-4</v>
      </c>
      <c r="E15">
        <v>-5.3855854768225589E-3</v>
      </c>
    </row>
    <row r="16" spans="1:5" x14ac:dyDescent="0.3">
      <c r="A16" s="2">
        <v>45968</v>
      </c>
      <c r="B16">
        <v>74.519996643066406</v>
      </c>
      <c r="C16">
        <v>4.3033916414462522E-3</v>
      </c>
      <c r="D16">
        <v>1.4329365079365081E-4</v>
      </c>
      <c r="E16">
        <v>4.1600979906526014E-3</v>
      </c>
    </row>
    <row r="17" spans="1:5" x14ac:dyDescent="0.3">
      <c r="A17" s="2">
        <v>45971</v>
      </c>
      <c r="B17">
        <v>76.699996948242188</v>
      </c>
      <c r="C17">
        <v>2.883416789900365E-2</v>
      </c>
      <c r="D17">
        <v>1.4329365079365081E-4</v>
      </c>
      <c r="E17">
        <v>2.8690874248209999E-2</v>
      </c>
    </row>
    <row r="18" spans="1:5" x14ac:dyDescent="0.3">
      <c r="A18" s="2">
        <v>45972</v>
      </c>
      <c r="B18">
        <v>79.165000915527344</v>
      </c>
      <c r="C18">
        <v>3.1632624933224607E-2</v>
      </c>
      <c r="D18">
        <v>1.4329365079365081E-4</v>
      </c>
      <c r="E18">
        <v>3.1489331282430963E-2</v>
      </c>
    </row>
    <row r="19" spans="1:5" x14ac:dyDescent="0.3">
      <c r="A19" s="2">
        <v>45973</v>
      </c>
      <c r="B19">
        <v>85.150001525878906</v>
      </c>
      <c r="C19">
        <v>7.2880131510393423E-2</v>
      </c>
      <c r="D19">
        <v>1.4329365079365081E-4</v>
      </c>
      <c r="E19">
        <v>7.2736837859599779E-2</v>
      </c>
    </row>
    <row r="20" spans="1:5" x14ac:dyDescent="0.3">
      <c r="A20" s="2">
        <v>45974</v>
      </c>
      <c r="B20">
        <v>86</v>
      </c>
      <c r="C20">
        <v>9.9328712249173601E-3</v>
      </c>
      <c r="D20">
        <v>1.4329365079365081E-4</v>
      </c>
      <c r="E20">
        <v>9.7895775741237093E-3</v>
      </c>
    </row>
    <row r="21" spans="1:5" x14ac:dyDescent="0.3">
      <c r="A21" s="2">
        <v>45975</v>
      </c>
      <c r="B21">
        <v>92.680000305175781</v>
      </c>
      <c r="C21">
        <v>7.4805406603457858E-2</v>
      </c>
      <c r="D21">
        <v>1.4329365079365081E-4</v>
      </c>
      <c r="E21">
        <v>7.46621129526642E-2</v>
      </c>
    </row>
    <row r="22" spans="1:5" x14ac:dyDescent="0.3">
      <c r="A22" s="2">
        <v>45978</v>
      </c>
      <c r="B22">
        <v>92.230003356933594</v>
      </c>
      <c r="C22">
        <v>-4.8672092119235611E-3</v>
      </c>
      <c r="D22">
        <v>1.4329365079365081E-4</v>
      </c>
      <c r="E22">
        <v>-5.0105028627172119E-3</v>
      </c>
    </row>
    <row r="23" spans="1:5" x14ac:dyDescent="0.3">
      <c r="A23" s="2">
        <v>45979</v>
      </c>
      <c r="B23">
        <v>91.599998474121094</v>
      </c>
      <c r="C23">
        <v>-6.854238623024104E-3</v>
      </c>
      <c r="D23">
        <v>1.4329365079365081E-4</v>
      </c>
      <c r="E23">
        <v>-6.9975322738177548E-3</v>
      </c>
    </row>
    <row r="24" spans="1:5" x14ac:dyDescent="0.3">
      <c r="A24" s="2">
        <v>45980</v>
      </c>
      <c r="B24">
        <v>94.230003356933594</v>
      </c>
      <c r="C24">
        <v>2.830738282153859E-2</v>
      </c>
      <c r="D24">
        <v>1.4329365079365081E-4</v>
      </c>
      <c r="E24">
        <v>2.8164089170744939E-2</v>
      </c>
    </row>
    <row r="25" spans="1:5" x14ac:dyDescent="0.3">
      <c r="A25" s="2">
        <v>45981</v>
      </c>
      <c r="B25">
        <v>94</v>
      </c>
      <c r="C25">
        <v>-2.4438555735525318E-3</v>
      </c>
      <c r="D25">
        <v>1.4329365079365081E-4</v>
      </c>
      <c r="E25">
        <v>-2.5871492243461831E-3</v>
      </c>
    </row>
    <row r="26" spans="1:5" x14ac:dyDescent="0.3">
      <c r="A26" s="2">
        <v>45982</v>
      </c>
      <c r="B26">
        <v>97.5</v>
      </c>
      <c r="C26">
        <v>3.6557595733797507E-2</v>
      </c>
      <c r="D26">
        <v>1.4329365079365081E-4</v>
      </c>
      <c r="E26">
        <v>3.6414302083003863E-2</v>
      </c>
    </row>
    <row r="27" spans="1:5" x14ac:dyDescent="0.3">
      <c r="A27" s="2">
        <v>45985</v>
      </c>
      <c r="B27">
        <v>101.15000152587891</v>
      </c>
      <c r="C27">
        <v>3.6752200695260799E-2</v>
      </c>
      <c r="D27">
        <v>1.4329365079365081E-4</v>
      </c>
      <c r="E27">
        <v>3.6608907044467148E-2</v>
      </c>
    </row>
    <row r="28" spans="1:5" x14ac:dyDescent="0.3">
      <c r="A28" s="2">
        <v>45986</v>
      </c>
      <c r="B28">
        <v>99.080001831054688</v>
      </c>
      <c r="C28">
        <v>-2.067695559733564E-2</v>
      </c>
      <c r="D28">
        <v>1.4329365079365081E-4</v>
      </c>
      <c r="E28">
        <v>-2.082024924812929E-2</v>
      </c>
    </row>
    <row r="29" spans="1:5" x14ac:dyDescent="0.3">
      <c r="A29" s="2">
        <v>45987</v>
      </c>
      <c r="B29">
        <v>100.34999847412109</v>
      </c>
      <c r="C29">
        <v>1.273643693505068E-2</v>
      </c>
      <c r="D29">
        <v>1.4329365079365081E-4</v>
      </c>
      <c r="E29">
        <v>1.259314328425703E-2</v>
      </c>
    </row>
    <row r="31" spans="1:5" x14ac:dyDescent="0.3">
      <c r="A31" t="s">
        <v>5</v>
      </c>
      <c r="B31">
        <v>4.5085163689406564E-3</v>
      </c>
    </row>
    <row r="32" spans="1:5" x14ac:dyDescent="0.3">
      <c r="A32" t="s">
        <v>6</v>
      </c>
      <c r="B32" s="3">
        <v>0.931293307203096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45950</v>
      </c>
      <c r="B2">
        <v>206.77000427246091</v>
      </c>
      <c r="C2">
        <v>2.1459942646979629E-2</v>
      </c>
      <c r="D2">
        <v>1.4329365079365081E-4</v>
      </c>
      <c r="E2">
        <v>2.1316648996185971E-2</v>
      </c>
    </row>
    <row r="3" spans="1:5" x14ac:dyDescent="0.3">
      <c r="A3" s="2">
        <v>45951</v>
      </c>
      <c r="B3">
        <v>202.28999328613281</v>
      </c>
      <c r="C3">
        <v>-2.1904806850263601E-2</v>
      </c>
      <c r="D3">
        <v>1.4329365079365081E-4</v>
      </c>
      <c r="E3">
        <v>-2.2048100501057249E-2</v>
      </c>
    </row>
    <row r="4" spans="1:5" x14ac:dyDescent="0.3">
      <c r="A4" s="2">
        <v>45952</v>
      </c>
      <c r="B4">
        <v>198.4700012207031</v>
      </c>
      <c r="C4">
        <v>-1.906431687054683E-2</v>
      </c>
      <c r="D4">
        <v>1.4329365079365081E-4</v>
      </c>
      <c r="E4">
        <v>-1.9207610521340481E-2</v>
      </c>
    </row>
    <row r="5" spans="1:5" x14ac:dyDescent="0.3">
      <c r="A5" s="2">
        <v>45953</v>
      </c>
      <c r="B5">
        <v>206.71000671386719</v>
      </c>
      <c r="C5">
        <v>4.0678915936053342E-2</v>
      </c>
      <c r="D5">
        <v>1.4329365079365081E-4</v>
      </c>
      <c r="E5">
        <v>4.0535622285259691E-2</v>
      </c>
    </row>
    <row r="6" spans="1:5" x14ac:dyDescent="0.3">
      <c r="A6" s="2">
        <v>45954</v>
      </c>
      <c r="B6">
        <v>219.02000427246091</v>
      </c>
      <c r="C6">
        <v>5.7846192063997513E-2</v>
      </c>
      <c r="D6">
        <v>1.4329365079365081E-4</v>
      </c>
      <c r="E6">
        <v>5.7702898413203862E-2</v>
      </c>
    </row>
    <row r="7" spans="1:5" x14ac:dyDescent="0.3">
      <c r="A7" s="2">
        <v>45957</v>
      </c>
      <c r="B7">
        <v>220.1000061035156</v>
      </c>
      <c r="C7">
        <v>4.9189469082782291E-3</v>
      </c>
      <c r="D7">
        <v>1.4329365079365081E-4</v>
      </c>
      <c r="E7">
        <v>4.7756532574845783E-3</v>
      </c>
    </row>
    <row r="8" spans="1:5" x14ac:dyDescent="0.3">
      <c r="A8" s="2">
        <v>45958</v>
      </c>
      <c r="B8">
        <v>221.9100036621094</v>
      </c>
      <c r="C8">
        <v>8.189894507500772E-3</v>
      </c>
      <c r="D8">
        <v>1.4329365079365081E-4</v>
      </c>
      <c r="E8">
        <v>8.0466008567071211E-3</v>
      </c>
    </row>
    <row r="9" spans="1:5" x14ac:dyDescent="0.3">
      <c r="A9" s="2">
        <v>45959</v>
      </c>
      <c r="B9">
        <v>226.6300048828125</v>
      </c>
      <c r="C9">
        <v>2.1046842485579809E-2</v>
      </c>
      <c r="D9">
        <v>1.4329365079365081E-4</v>
      </c>
      <c r="E9">
        <v>2.0903548834786151E-2</v>
      </c>
    </row>
    <row r="10" spans="1:5" x14ac:dyDescent="0.3">
      <c r="A10" s="2">
        <v>45960</v>
      </c>
      <c r="B10">
        <v>224.00999450683591</v>
      </c>
      <c r="C10">
        <v>-1.162808406238347E-2</v>
      </c>
      <c r="D10">
        <v>1.4329365079365081E-4</v>
      </c>
      <c r="E10">
        <v>-1.1771377713177119E-2</v>
      </c>
    </row>
    <row r="11" spans="1:5" x14ac:dyDescent="0.3">
      <c r="A11" s="2">
        <v>45961</v>
      </c>
      <c r="B11">
        <v>223.77000427246091</v>
      </c>
      <c r="C11">
        <v>-1.071911465488322E-3</v>
      </c>
      <c r="D11">
        <v>1.4329365079365081E-4</v>
      </c>
      <c r="E11">
        <v>-1.215205116281973E-3</v>
      </c>
    </row>
    <row r="12" spans="1:5" x14ac:dyDescent="0.3">
      <c r="A12" s="2">
        <v>45964</v>
      </c>
      <c r="B12">
        <v>234.69999694824219</v>
      </c>
      <c r="C12">
        <v>4.7689332125902748E-2</v>
      </c>
      <c r="D12">
        <v>1.4329365079365081E-4</v>
      </c>
      <c r="E12">
        <v>4.7546038475109097E-2</v>
      </c>
    </row>
    <row r="13" spans="1:5" x14ac:dyDescent="0.3">
      <c r="A13" s="2">
        <v>45965</v>
      </c>
      <c r="B13">
        <v>218.0299987792969</v>
      </c>
      <c r="C13">
        <v>-7.3675427453003373E-2</v>
      </c>
      <c r="D13">
        <v>1.4329365079365081E-4</v>
      </c>
      <c r="E13">
        <v>-7.381872110379703E-2</v>
      </c>
    </row>
    <row r="14" spans="1:5" x14ac:dyDescent="0.3">
      <c r="A14" s="2">
        <v>45966</v>
      </c>
      <c r="B14">
        <v>237.5</v>
      </c>
      <c r="C14">
        <v>8.5534961073524277E-2</v>
      </c>
      <c r="D14">
        <v>1.4329365079365081E-4</v>
      </c>
      <c r="E14">
        <v>8.5391667422730633E-2</v>
      </c>
    </row>
    <row r="15" spans="1:5" x14ac:dyDescent="0.3">
      <c r="A15" s="2">
        <v>45967</v>
      </c>
      <c r="B15">
        <v>238.33000183105469</v>
      </c>
      <c r="C15">
        <v>3.4886521222652011E-3</v>
      </c>
      <c r="D15">
        <v>1.4329365079365081E-4</v>
      </c>
      <c r="E15">
        <v>3.3453584714715498E-3</v>
      </c>
    </row>
    <row r="16" spans="1:5" x14ac:dyDescent="0.3">
      <c r="A16" s="2">
        <v>45968</v>
      </c>
      <c r="B16">
        <v>237.91999816894531</v>
      </c>
      <c r="C16">
        <v>-1.7218005812102599E-3</v>
      </c>
      <c r="D16">
        <v>1.4329365079365081E-4</v>
      </c>
      <c r="E16">
        <v>-1.865094232003911E-3</v>
      </c>
    </row>
    <row r="17" spans="1:5" x14ac:dyDescent="0.3">
      <c r="A17" s="2">
        <v>45971</v>
      </c>
      <c r="B17">
        <v>253.30000305175781</v>
      </c>
      <c r="C17">
        <v>6.2640094039876262E-2</v>
      </c>
      <c r="D17">
        <v>1.4329365079365081E-4</v>
      </c>
      <c r="E17">
        <v>6.2496800389082612E-2</v>
      </c>
    </row>
    <row r="18" spans="1:5" x14ac:dyDescent="0.3">
      <c r="A18" s="2">
        <v>45972</v>
      </c>
      <c r="B18">
        <v>241.11000061035159</v>
      </c>
      <c r="C18">
        <v>-4.9321305631466687E-2</v>
      </c>
      <c r="D18">
        <v>1.4329365079365081E-4</v>
      </c>
      <c r="E18">
        <v>-4.9464599282260338E-2</v>
      </c>
    </row>
    <row r="19" spans="1:5" x14ac:dyDescent="0.3">
      <c r="A19" s="2">
        <v>45973</v>
      </c>
      <c r="B19">
        <v>244.8999938964844</v>
      </c>
      <c r="C19">
        <v>1.559667561148022E-2</v>
      </c>
      <c r="D19">
        <v>1.4329365079365081E-4</v>
      </c>
      <c r="E19">
        <v>1.5453381960686571E-2</v>
      </c>
    </row>
    <row r="20" spans="1:5" x14ac:dyDescent="0.3">
      <c r="A20" s="2">
        <v>45974</v>
      </c>
      <c r="B20">
        <v>236.94999694824219</v>
      </c>
      <c r="C20">
        <v>-3.3000803501375797E-2</v>
      </c>
      <c r="D20">
        <v>1.4329365079365081E-4</v>
      </c>
      <c r="E20">
        <v>-3.3144097152169448E-2</v>
      </c>
    </row>
    <row r="21" spans="1:5" x14ac:dyDescent="0.3">
      <c r="A21" s="2">
        <v>45975</v>
      </c>
      <c r="B21">
        <v>246.83000183105469</v>
      </c>
      <c r="C21">
        <v>4.0850712443650003E-2</v>
      </c>
      <c r="D21">
        <v>1.4329365079365081E-4</v>
      </c>
      <c r="E21">
        <v>4.0707418792856352E-2</v>
      </c>
    </row>
    <row r="22" spans="1:5" x14ac:dyDescent="0.3">
      <c r="A22" s="2">
        <v>45978</v>
      </c>
      <c r="B22">
        <v>241.94999694824219</v>
      </c>
      <c r="C22">
        <v>-1.9968767351762839E-2</v>
      </c>
      <c r="D22">
        <v>1.4329365079365081E-4</v>
      </c>
      <c r="E22">
        <v>-2.011206100255649E-2</v>
      </c>
    </row>
    <row r="23" spans="1:5" x14ac:dyDescent="0.3">
      <c r="A23" s="2">
        <v>45979</v>
      </c>
      <c r="B23">
        <v>228.5</v>
      </c>
      <c r="C23">
        <v>-5.7194870291892561E-2</v>
      </c>
      <c r="D23">
        <v>1.4329365079365081E-4</v>
      </c>
      <c r="E23">
        <v>-5.7338163942686211E-2</v>
      </c>
    </row>
    <row r="24" spans="1:5" x14ac:dyDescent="0.3">
      <c r="A24" s="2">
        <v>45980</v>
      </c>
      <c r="B24">
        <v>225.91999816894531</v>
      </c>
      <c r="C24">
        <v>-1.135526413426304E-2</v>
      </c>
      <c r="D24">
        <v>1.4329365079365081E-4</v>
      </c>
      <c r="E24">
        <v>-1.1498557785056689E-2</v>
      </c>
    </row>
    <row r="25" spans="1:5" x14ac:dyDescent="0.3">
      <c r="A25" s="2">
        <v>45981</v>
      </c>
      <c r="B25">
        <v>201.3699951171875</v>
      </c>
      <c r="C25">
        <v>-0.1150369585576466</v>
      </c>
      <c r="D25">
        <v>1.4329365079365081E-4</v>
      </c>
      <c r="E25">
        <v>-0.1151802522084403</v>
      </c>
    </row>
    <row r="26" spans="1:5" x14ac:dyDescent="0.3">
      <c r="A26" s="2">
        <v>45982</v>
      </c>
      <c r="B26">
        <v>207.3699951171875</v>
      </c>
      <c r="C26">
        <v>2.9360626121020628E-2</v>
      </c>
      <c r="D26">
        <v>1.4329365079365081E-4</v>
      </c>
      <c r="E26">
        <v>2.9217332470226981E-2</v>
      </c>
    </row>
    <row r="27" spans="1:5" x14ac:dyDescent="0.3">
      <c r="A27" s="2">
        <v>45985</v>
      </c>
      <c r="B27">
        <v>223.92999267578119</v>
      </c>
      <c r="C27">
        <v>7.682885654574291E-2</v>
      </c>
      <c r="D27">
        <v>1.4329365079365081E-4</v>
      </c>
      <c r="E27">
        <v>7.6685562894949266E-2</v>
      </c>
    </row>
    <row r="28" spans="1:5" x14ac:dyDescent="0.3">
      <c r="A28" s="2">
        <v>45986</v>
      </c>
      <c r="B28">
        <v>224.5299987792969</v>
      </c>
      <c r="C28">
        <v>2.6758527982924242E-3</v>
      </c>
      <c r="D28">
        <v>1.4329365079365081E-4</v>
      </c>
      <c r="E28">
        <v>2.5325591474987729E-3</v>
      </c>
    </row>
    <row r="29" spans="1:5" x14ac:dyDescent="0.3">
      <c r="A29" s="2">
        <v>45987</v>
      </c>
      <c r="B29">
        <v>230.25999450683591</v>
      </c>
      <c r="C29">
        <v>2.5199758281758518E-2</v>
      </c>
      <c r="D29">
        <v>1.4329365079365081E-4</v>
      </c>
      <c r="E29">
        <v>2.5056464630964871E-2</v>
      </c>
    </row>
    <row r="31" spans="1:5" x14ac:dyDescent="0.3">
      <c r="A31" t="s">
        <v>5</v>
      </c>
      <c r="B31">
        <v>2.0448514000455682E-3</v>
      </c>
    </row>
    <row r="32" spans="1:5" x14ac:dyDescent="0.3">
      <c r="A32" t="s">
        <v>6</v>
      </c>
      <c r="B32" s="3">
        <v>0.13776059369188839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D2" sqref="D2:D6"/>
    </sheetView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45950</v>
      </c>
      <c r="B2">
        <v>240.55999755859381</v>
      </c>
      <c r="C2">
        <v>3.1587778400648268E-2</v>
      </c>
      <c r="D2">
        <v>1.4329365079365081E-4</v>
      </c>
      <c r="E2">
        <v>3.1444484749854618E-2</v>
      </c>
    </row>
    <row r="3" spans="1:5" x14ac:dyDescent="0.3">
      <c r="A3" s="2">
        <v>45951</v>
      </c>
      <c r="B3">
        <v>238.0299987792969</v>
      </c>
      <c r="C3">
        <v>-1.057281751183037E-2</v>
      </c>
      <c r="D3">
        <v>1.4329365079365081E-4</v>
      </c>
      <c r="E3">
        <v>-1.0716111162624021E-2</v>
      </c>
    </row>
    <row r="4" spans="1:5" x14ac:dyDescent="0.3">
      <c r="A4" s="2">
        <v>45952</v>
      </c>
      <c r="B4">
        <v>230.22999572753909</v>
      </c>
      <c r="C4">
        <v>-3.3317920320678818E-2</v>
      </c>
      <c r="D4">
        <v>1.4329365079365081E-4</v>
      </c>
      <c r="E4">
        <v>-3.3461213971472469E-2</v>
      </c>
    </row>
    <row r="5" spans="1:5" x14ac:dyDescent="0.3">
      <c r="A5" s="2">
        <v>45953</v>
      </c>
      <c r="B5">
        <v>234.99000549316409</v>
      </c>
      <c r="C5">
        <v>2.0464192724498481E-2</v>
      </c>
      <c r="D5">
        <v>1.4329365079365081E-4</v>
      </c>
      <c r="E5">
        <v>2.032089907370483E-2</v>
      </c>
    </row>
    <row r="6" spans="1:5" x14ac:dyDescent="0.3">
      <c r="A6" s="2">
        <v>45954</v>
      </c>
      <c r="B6">
        <v>252.91999816894531</v>
      </c>
      <c r="C6">
        <v>7.353024252733531E-2</v>
      </c>
      <c r="D6">
        <v>1.4329365079365081E-4</v>
      </c>
      <c r="E6">
        <v>7.3386948876541652E-2</v>
      </c>
    </row>
    <row r="7" spans="1:5" x14ac:dyDescent="0.3">
      <c r="A7" s="2">
        <v>45957</v>
      </c>
      <c r="B7">
        <v>259.67001342773438</v>
      </c>
      <c r="C7">
        <v>2.6338419850731098E-2</v>
      </c>
      <c r="D7">
        <v>1.4329365079365081E-4</v>
      </c>
      <c r="E7">
        <v>2.6195126199937451E-2</v>
      </c>
    </row>
    <row r="8" spans="1:5" x14ac:dyDescent="0.3">
      <c r="A8" s="2">
        <v>45958</v>
      </c>
      <c r="B8">
        <v>258.010009765625</v>
      </c>
      <c r="C8">
        <v>-6.4132640912896183E-3</v>
      </c>
      <c r="D8">
        <v>1.4329365079365081E-4</v>
      </c>
      <c r="E8">
        <v>-6.5565577420832691E-3</v>
      </c>
    </row>
    <row r="9" spans="1:5" x14ac:dyDescent="0.3">
      <c r="A9" s="2">
        <v>45959</v>
      </c>
      <c r="B9">
        <v>264.32998657226563</v>
      </c>
      <c r="C9">
        <v>2.4199890037420981E-2</v>
      </c>
      <c r="D9">
        <v>1.4329365079365081E-4</v>
      </c>
      <c r="E9">
        <v>2.405659638662733E-2</v>
      </c>
    </row>
    <row r="10" spans="1:5" x14ac:dyDescent="0.3">
      <c r="A10" s="2">
        <v>45960</v>
      </c>
      <c r="B10">
        <v>254.8399963378906</v>
      </c>
      <c r="C10">
        <v>-3.6562388869558031E-2</v>
      </c>
      <c r="D10">
        <v>1.4329365079365081E-4</v>
      </c>
      <c r="E10">
        <v>-3.6705682520351682E-2</v>
      </c>
    </row>
    <row r="11" spans="1:5" x14ac:dyDescent="0.3">
      <c r="A11" s="2">
        <v>45961</v>
      </c>
      <c r="B11">
        <v>256.1199951171875</v>
      </c>
      <c r="C11">
        <v>5.0101827079939293E-3</v>
      </c>
      <c r="D11">
        <v>1.4329365079365081E-4</v>
      </c>
      <c r="E11">
        <v>4.8668890572002776E-3</v>
      </c>
    </row>
    <row r="12" spans="1:5" x14ac:dyDescent="0.3">
      <c r="A12" s="2">
        <v>45964</v>
      </c>
      <c r="B12">
        <v>259.64999389648438</v>
      </c>
      <c r="C12">
        <v>1.3688481197572591E-2</v>
      </c>
      <c r="D12">
        <v>1.4329365079365081E-4</v>
      </c>
      <c r="E12">
        <v>1.354518754677894E-2</v>
      </c>
    </row>
    <row r="13" spans="1:5" x14ac:dyDescent="0.3">
      <c r="A13" s="2">
        <v>45965</v>
      </c>
      <c r="B13">
        <v>250.05000305175781</v>
      </c>
      <c r="C13">
        <v>-3.7673636714120953E-2</v>
      </c>
      <c r="D13">
        <v>1.4329365079365081E-4</v>
      </c>
      <c r="E13">
        <v>-3.7816930364914597E-2</v>
      </c>
    </row>
    <row r="14" spans="1:5" x14ac:dyDescent="0.3">
      <c r="A14" s="2">
        <v>45966</v>
      </c>
      <c r="B14">
        <v>256.32998657226563</v>
      </c>
      <c r="C14">
        <v>2.4804714397747819E-2</v>
      </c>
      <c r="D14">
        <v>1.4329365079365081E-4</v>
      </c>
      <c r="E14">
        <v>2.4661420746954169E-2</v>
      </c>
    </row>
    <row r="15" spans="1:5" x14ac:dyDescent="0.3">
      <c r="A15" s="2">
        <v>45967</v>
      </c>
      <c r="B15">
        <v>237.69999694824219</v>
      </c>
      <c r="C15">
        <v>-7.5456262939797611E-2</v>
      </c>
      <c r="D15">
        <v>1.4329365079365081E-4</v>
      </c>
      <c r="E15">
        <v>-7.5599556590591255E-2</v>
      </c>
    </row>
    <row r="16" spans="1:5" x14ac:dyDescent="0.3">
      <c r="A16" s="2">
        <v>45968</v>
      </c>
      <c r="B16">
        <v>233.53999328613281</v>
      </c>
      <c r="C16">
        <v>-1.765602162813841E-2</v>
      </c>
      <c r="D16">
        <v>1.4329365079365081E-4</v>
      </c>
      <c r="E16">
        <v>-1.7799315278932061E-2</v>
      </c>
    </row>
    <row r="17" spans="1:5" x14ac:dyDescent="0.3">
      <c r="A17" s="2">
        <v>45971</v>
      </c>
      <c r="B17">
        <v>243.97999572753909</v>
      </c>
      <c r="C17">
        <v>4.3732897309755478E-2</v>
      </c>
      <c r="D17">
        <v>1.4329365079365081E-4</v>
      </c>
      <c r="E17">
        <v>4.3589603658961827E-2</v>
      </c>
    </row>
    <row r="18" spans="1:5" x14ac:dyDescent="0.3">
      <c r="A18" s="2">
        <v>45972</v>
      </c>
      <c r="B18">
        <v>237.52000427246091</v>
      </c>
      <c r="C18">
        <v>-2.6834388765771579E-2</v>
      </c>
      <c r="D18">
        <v>1.4329365079365081E-4</v>
      </c>
      <c r="E18">
        <v>-2.697768241656523E-2</v>
      </c>
    </row>
    <row r="19" spans="1:5" x14ac:dyDescent="0.3">
      <c r="A19" s="2">
        <v>45973</v>
      </c>
      <c r="B19">
        <v>258.8900146484375</v>
      </c>
      <c r="C19">
        <v>8.6151469198214828E-2</v>
      </c>
      <c r="D19">
        <v>1.4329365079365081E-4</v>
      </c>
      <c r="E19">
        <v>8.6008175547421184E-2</v>
      </c>
    </row>
    <row r="20" spans="1:5" x14ac:dyDescent="0.3">
      <c r="A20" s="2">
        <v>45974</v>
      </c>
      <c r="B20">
        <v>247.96000671386719</v>
      </c>
      <c r="C20">
        <v>-4.3135847731382869E-2</v>
      </c>
      <c r="D20">
        <v>1.4329365079365081E-4</v>
      </c>
      <c r="E20">
        <v>-4.327914138217652E-2</v>
      </c>
    </row>
    <row r="21" spans="1:5" x14ac:dyDescent="0.3">
      <c r="A21" s="2">
        <v>45975</v>
      </c>
      <c r="B21">
        <v>246.80999755859381</v>
      </c>
      <c r="C21">
        <v>-4.6486699530269527E-3</v>
      </c>
      <c r="D21">
        <v>1.4329365079365081E-4</v>
      </c>
      <c r="E21">
        <v>-4.7919636038206044E-3</v>
      </c>
    </row>
    <row r="22" spans="1:5" x14ac:dyDescent="0.3">
      <c r="A22" s="2">
        <v>45978</v>
      </c>
      <c r="B22">
        <v>240.52000427246091</v>
      </c>
      <c r="C22">
        <v>-2.5815536022302691E-2</v>
      </c>
      <c r="D22">
        <v>1.4329365079365081E-4</v>
      </c>
      <c r="E22">
        <v>-2.5958829673096338E-2</v>
      </c>
    </row>
    <row r="23" spans="1:5" x14ac:dyDescent="0.3">
      <c r="A23" s="2">
        <v>45979</v>
      </c>
      <c r="B23">
        <v>230.28999328613281</v>
      </c>
      <c r="C23">
        <v>-4.3463908828844072E-2</v>
      </c>
      <c r="D23">
        <v>1.4329365079365081E-4</v>
      </c>
      <c r="E23">
        <v>-4.3607202479637723E-2</v>
      </c>
    </row>
    <row r="24" spans="1:5" x14ac:dyDescent="0.3">
      <c r="A24" s="2">
        <v>45980</v>
      </c>
      <c r="B24">
        <v>223.55000305175781</v>
      </c>
      <c r="C24">
        <v>-2.9704238774623859E-2</v>
      </c>
      <c r="D24">
        <v>1.4329365079365081E-4</v>
      </c>
      <c r="E24">
        <v>-2.984753242541751E-2</v>
      </c>
    </row>
    <row r="25" spans="1:5" x14ac:dyDescent="0.3">
      <c r="A25" s="2">
        <v>45981</v>
      </c>
      <c r="B25">
        <v>206.02000427246091</v>
      </c>
      <c r="C25">
        <v>-8.1661844137697628E-2</v>
      </c>
      <c r="D25">
        <v>1.4329365079365081E-4</v>
      </c>
      <c r="E25">
        <v>-8.1805137788491272E-2</v>
      </c>
    </row>
    <row r="26" spans="1:5" x14ac:dyDescent="0.3">
      <c r="A26" s="2">
        <v>45982</v>
      </c>
      <c r="B26">
        <v>203.7799987792969</v>
      </c>
      <c r="C26">
        <v>-1.093229763779506E-2</v>
      </c>
      <c r="D26">
        <v>1.4329365079365081E-4</v>
      </c>
      <c r="E26">
        <v>-1.1075591288588709E-2</v>
      </c>
    </row>
    <row r="27" spans="1:5" x14ac:dyDescent="0.3">
      <c r="A27" s="2">
        <v>45985</v>
      </c>
      <c r="B27">
        <v>215.05000305175781</v>
      </c>
      <c r="C27">
        <v>5.3829598864827147E-2</v>
      </c>
      <c r="D27">
        <v>1.4329365079365081E-4</v>
      </c>
      <c r="E27">
        <v>5.3686305214033503E-2</v>
      </c>
    </row>
    <row r="28" spans="1:5" x14ac:dyDescent="0.3">
      <c r="A28" s="2">
        <v>45986</v>
      </c>
      <c r="B28">
        <v>206.1300048828125</v>
      </c>
      <c r="C28">
        <v>-4.2363512021548817E-2</v>
      </c>
      <c r="D28">
        <v>1.4329365079365081E-4</v>
      </c>
      <c r="E28">
        <v>-4.2506805672342468E-2</v>
      </c>
    </row>
    <row r="29" spans="1:5" x14ac:dyDescent="0.3">
      <c r="A29" s="2">
        <v>45987</v>
      </c>
      <c r="B29">
        <v>214.24000549316409</v>
      </c>
      <c r="C29">
        <v>3.858984618397894E-2</v>
      </c>
      <c r="D29">
        <v>1.4329365079365081E-4</v>
      </c>
      <c r="E29">
        <v>3.8446552533185289E-2</v>
      </c>
    </row>
    <row r="31" spans="1:5" x14ac:dyDescent="0.3">
      <c r="A31" t="s">
        <v>5</v>
      </c>
      <c r="B31">
        <v>1.7424340360681261E-3</v>
      </c>
    </row>
    <row r="32" spans="1:5" x14ac:dyDescent="0.3">
      <c r="A32" t="s">
        <v>6</v>
      </c>
      <c r="B32" s="3">
        <v>-8.0830599750666754E-2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I16" sqref="I16"/>
    </sheetView>
  </sheetViews>
  <sheetFormatPr defaultRowHeight="14.4" x14ac:dyDescent="0.3"/>
  <cols>
    <col min="1" max="1" width="19.6640625" bestFit="1" customWidth="1"/>
    <col min="2" max="2" width="12" bestFit="1" customWidth="1"/>
    <col min="3" max="3" width="12.6640625" bestFit="1" customWidth="1"/>
    <col min="4" max="4" width="12" bestFit="1" customWidth="1"/>
    <col min="5" max="5" width="13.109375" bestFit="1" customWidth="1"/>
    <col min="7" max="7" width="20.77734375" bestFit="1" customWidth="1"/>
  </cols>
  <sheetData>
    <row r="1" spans="1:8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A2" s="2">
        <v>45950</v>
      </c>
      <c r="B2">
        <v>671.29998779296875</v>
      </c>
      <c r="C2">
        <v>1.034676426071073E-2</v>
      </c>
      <c r="D2">
        <v>1.4329365079365081E-4</v>
      </c>
      <c r="E2">
        <v>1.020347060991708E-2</v>
      </c>
    </row>
    <row r="3" spans="1:8" x14ac:dyDescent="0.3">
      <c r="A3" s="2">
        <v>45951</v>
      </c>
      <c r="B3">
        <v>671.28997802734375</v>
      </c>
      <c r="C3">
        <v>-1.491112831167144E-5</v>
      </c>
      <c r="D3">
        <v>1.4329365079365081E-4</v>
      </c>
      <c r="E3">
        <v>-1.5820477910532231E-4</v>
      </c>
      <c r="G3" t="s">
        <v>57</v>
      </c>
      <c r="H3">
        <f>AVERAGE(E2:E29)</f>
        <v>6.6930420269404375E-4</v>
      </c>
    </row>
    <row r="4" spans="1:8" x14ac:dyDescent="0.3">
      <c r="A4" s="2">
        <v>45952</v>
      </c>
      <c r="B4">
        <v>667.79998779296875</v>
      </c>
      <c r="C4">
        <v>-5.2124924021448773E-3</v>
      </c>
      <c r="D4">
        <v>1.4329365079365081E-4</v>
      </c>
      <c r="E4">
        <v>-5.3557860529385281E-3</v>
      </c>
      <c r="G4" t="s">
        <v>38</v>
      </c>
      <c r="H4">
        <f>_xlfn.STDEV.S(E2:E29)</f>
        <v>8.9263396904550405E-3</v>
      </c>
    </row>
    <row r="5" spans="1:8" x14ac:dyDescent="0.3">
      <c r="A5" s="2">
        <v>45953</v>
      </c>
      <c r="B5">
        <v>671.760009765625</v>
      </c>
      <c r="C5">
        <v>5.9124391825973307E-3</v>
      </c>
      <c r="D5">
        <v>1.4329365079365081E-4</v>
      </c>
      <c r="E5">
        <v>5.7691455318036799E-3</v>
      </c>
      <c r="G5" s="12" t="s">
        <v>7</v>
      </c>
      <c r="H5" s="12">
        <f>H3/H4</f>
        <v>7.4980812505906824E-2</v>
      </c>
    </row>
    <row r="6" spans="1:8" x14ac:dyDescent="0.3">
      <c r="A6" s="2">
        <v>45954</v>
      </c>
      <c r="B6">
        <v>677.25</v>
      </c>
      <c r="C6">
        <v>8.1393325525247872E-3</v>
      </c>
      <c r="D6">
        <v>1.4329365079365081E-4</v>
      </c>
      <c r="E6">
        <v>7.9960389017311364E-3</v>
      </c>
    </row>
    <row r="7" spans="1:8" x14ac:dyDescent="0.3">
      <c r="A7" s="2">
        <v>45957</v>
      </c>
      <c r="B7">
        <v>685.239990234375</v>
      </c>
      <c r="C7">
        <v>1.172864664565948E-2</v>
      </c>
      <c r="D7">
        <v>1.4329365079365081E-4</v>
      </c>
      <c r="E7">
        <v>1.158535299486583E-2</v>
      </c>
    </row>
    <row r="8" spans="1:8" x14ac:dyDescent="0.3">
      <c r="A8" s="2">
        <v>45958</v>
      </c>
      <c r="B8">
        <v>687.05999755859375</v>
      </c>
      <c r="C8">
        <v>2.6524934890284572E-3</v>
      </c>
      <c r="D8">
        <v>1.4329365079365081E-4</v>
      </c>
      <c r="E8">
        <v>2.5091998382348059E-3</v>
      </c>
    </row>
    <row r="9" spans="1:8" x14ac:dyDescent="0.3">
      <c r="A9" s="2">
        <v>45959</v>
      </c>
      <c r="B9">
        <v>687.3900146484375</v>
      </c>
      <c r="C9">
        <v>4.802169496959799E-4</v>
      </c>
      <c r="D9">
        <v>1.4329365079365081E-4</v>
      </c>
      <c r="E9">
        <v>3.3692329890232909E-4</v>
      </c>
    </row>
    <row r="10" spans="1:8" x14ac:dyDescent="0.3">
      <c r="A10" s="2">
        <v>45960</v>
      </c>
      <c r="B10">
        <v>679.83001708984375</v>
      </c>
      <c r="C10">
        <v>-1.1059045996237979E-2</v>
      </c>
      <c r="D10">
        <v>1.4329365079365081E-4</v>
      </c>
      <c r="E10">
        <v>-1.120233964703163E-2</v>
      </c>
    </row>
    <row r="11" spans="1:8" x14ac:dyDescent="0.3">
      <c r="A11" s="2">
        <v>45961</v>
      </c>
      <c r="B11">
        <v>682.05999755859375</v>
      </c>
      <c r="C11">
        <v>3.274834880532589E-3</v>
      </c>
      <c r="D11">
        <v>1.4329365079365081E-4</v>
      </c>
      <c r="E11">
        <v>3.1315412297389391E-3</v>
      </c>
    </row>
    <row r="12" spans="1:8" x14ac:dyDescent="0.3">
      <c r="A12" s="2">
        <v>45964</v>
      </c>
      <c r="B12">
        <v>683.34002685546875</v>
      </c>
      <c r="C12">
        <v>1.8749518807334041E-3</v>
      </c>
      <c r="D12">
        <v>1.4329365079365081E-4</v>
      </c>
      <c r="E12">
        <v>1.7316582299397531E-3</v>
      </c>
    </row>
    <row r="13" spans="1:8" x14ac:dyDescent="0.3">
      <c r="A13" s="2">
        <v>45965</v>
      </c>
      <c r="B13">
        <v>675.239990234375</v>
      </c>
      <c r="C13">
        <v>-1.192441004387914E-2</v>
      </c>
      <c r="D13">
        <v>1.4329365079365081E-4</v>
      </c>
      <c r="E13">
        <v>-1.2067703694672799E-2</v>
      </c>
    </row>
    <row r="14" spans="1:8" x14ac:dyDescent="0.3">
      <c r="A14" s="2">
        <v>45966</v>
      </c>
      <c r="B14">
        <v>677.58001708984375</v>
      </c>
      <c r="C14">
        <v>3.4594834147794961E-3</v>
      </c>
      <c r="D14">
        <v>1.4329365079365081E-4</v>
      </c>
      <c r="E14">
        <v>3.3161897639858448E-3</v>
      </c>
    </row>
    <row r="15" spans="1:8" x14ac:dyDescent="0.3">
      <c r="A15" s="2">
        <v>45967</v>
      </c>
      <c r="B15">
        <v>670.30999755859375</v>
      </c>
      <c r="C15">
        <v>-1.0787363881969809E-2</v>
      </c>
      <c r="D15">
        <v>1.4329365079365081E-4</v>
      </c>
      <c r="E15">
        <v>-1.093065753276346E-2</v>
      </c>
    </row>
    <row r="16" spans="1:8" x14ac:dyDescent="0.3">
      <c r="A16" s="2">
        <v>45968</v>
      </c>
      <c r="B16">
        <v>670.969970703125</v>
      </c>
      <c r="C16">
        <v>9.8409461620272277E-4</v>
      </c>
      <c r="D16">
        <v>1.4329365079365081E-4</v>
      </c>
      <c r="E16">
        <v>8.4080096540907197E-4</v>
      </c>
    </row>
    <row r="17" spans="1:5" x14ac:dyDescent="0.3">
      <c r="A17" s="2">
        <v>45971</v>
      </c>
      <c r="B17">
        <v>681.44000244140625</v>
      </c>
      <c r="C17">
        <v>1.548382683786997E-2</v>
      </c>
      <c r="D17">
        <v>1.4329365079365081E-4</v>
      </c>
      <c r="E17">
        <v>1.534053318707632E-2</v>
      </c>
    </row>
    <row r="18" spans="1:5" x14ac:dyDescent="0.3">
      <c r="A18" s="2">
        <v>45972</v>
      </c>
      <c r="B18">
        <v>683</v>
      </c>
      <c r="C18">
        <v>2.286649813170406E-3</v>
      </c>
      <c r="D18">
        <v>1.4329365079365081E-4</v>
      </c>
      <c r="E18">
        <v>2.1433561623767552E-3</v>
      </c>
    </row>
    <row r="19" spans="1:5" x14ac:dyDescent="0.3">
      <c r="A19" s="2">
        <v>45973</v>
      </c>
      <c r="B19">
        <v>683.3800048828125</v>
      </c>
      <c r="C19">
        <v>5.5622138973304973E-4</v>
      </c>
      <c r="D19">
        <v>1.4329365079365081E-4</v>
      </c>
      <c r="E19">
        <v>4.1292773893939893E-4</v>
      </c>
    </row>
    <row r="20" spans="1:5" x14ac:dyDescent="0.3">
      <c r="A20" s="2">
        <v>45974</v>
      </c>
      <c r="B20">
        <v>672.03997802734375</v>
      </c>
      <c r="C20">
        <v>-1.6733251094780969E-2</v>
      </c>
      <c r="D20">
        <v>1.4329365079365081E-4</v>
      </c>
      <c r="E20">
        <v>-1.687654474557462E-2</v>
      </c>
    </row>
    <row r="21" spans="1:5" x14ac:dyDescent="0.3">
      <c r="A21" s="2">
        <v>45975</v>
      </c>
      <c r="B21">
        <v>671.92999267578125</v>
      </c>
      <c r="C21">
        <v>-1.6367233525385521E-4</v>
      </c>
      <c r="D21">
        <v>1.4329365079365081E-4</v>
      </c>
      <c r="E21">
        <v>-3.0696598604750599E-4</v>
      </c>
    </row>
    <row r="22" spans="1:5" x14ac:dyDescent="0.3">
      <c r="A22" s="2">
        <v>45978</v>
      </c>
      <c r="B22">
        <v>665.66998291015625</v>
      </c>
      <c r="C22">
        <v>-9.3601309572006949E-3</v>
      </c>
      <c r="D22">
        <v>1.4329365079365081E-4</v>
      </c>
      <c r="E22">
        <v>-9.5034246079943457E-3</v>
      </c>
    </row>
    <row r="23" spans="1:5" x14ac:dyDescent="0.3">
      <c r="A23" s="2">
        <v>45979</v>
      </c>
      <c r="B23">
        <v>660.08001708984375</v>
      </c>
      <c r="C23">
        <v>-8.4329608866356969E-3</v>
      </c>
      <c r="D23">
        <v>1.4329365079365081E-4</v>
      </c>
      <c r="E23">
        <v>-8.5762545374293477E-3</v>
      </c>
    </row>
    <row r="24" spans="1:5" x14ac:dyDescent="0.3">
      <c r="A24" s="2">
        <v>45980</v>
      </c>
      <c r="B24">
        <v>662.6300048828125</v>
      </c>
      <c r="C24">
        <v>3.8557067077721039E-3</v>
      </c>
      <c r="D24">
        <v>1.4329365079365081E-4</v>
      </c>
      <c r="E24">
        <v>3.7124130569784531E-3</v>
      </c>
    </row>
    <row r="25" spans="1:5" x14ac:dyDescent="0.3">
      <c r="A25" s="2">
        <v>45981</v>
      </c>
      <c r="B25">
        <v>652.530029296875</v>
      </c>
      <c r="C25">
        <v>-1.535961234563152E-2</v>
      </c>
      <c r="D25">
        <v>1.4329365079365081E-4</v>
      </c>
      <c r="E25">
        <v>-1.5502905996425171E-2</v>
      </c>
    </row>
    <row r="26" spans="1:5" x14ac:dyDescent="0.3">
      <c r="A26" s="2">
        <v>45982</v>
      </c>
      <c r="B26">
        <v>659.030029296875</v>
      </c>
      <c r="C26">
        <v>9.9119413925747094E-3</v>
      </c>
      <c r="D26">
        <v>1.4329365079365081E-4</v>
      </c>
      <c r="E26">
        <v>9.7686477417810585E-3</v>
      </c>
    </row>
    <row r="27" spans="1:5" x14ac:dyDescent="0.3">
      <c r="A27" s="2">
        <v>45985</v>
      </c>
      <c r="B27">
        <v>668.72998046875</v>
      </c>
      <c r="C27">
        <v>1.461126057310228E-2</v>
      </c>
      <c r="D27">
        <v>1.4329365079365081E-4</v>
      </c>
      <c r="E27">
        <v>1.4467966922308629E-2</v>
      </c>
    </row>
    <row r="28" spans="1:5" x14ac:dyDescent="0.3">
      <c r="A28" s="2">
        <v>45986</v>
      </c>
      <c r="B28">
        <v>675.02001953125</v>
      </c>
      <c r="C28">
        <v>9.3619869830687003E-3</v>
      </c>
      <c r="D28">
        <v>1.4329365079365081E-4</v>
      </c>
      <c r="E28">
        <v>9.2186933322750495E-3</v>
      </c>
    </row>
    <row r="29" spans="1:5" x14ac:dyDescent="0.3">
      <c r="A29" s="2">
        <v>45987</v>
      </c>
      <c r="B29">
        <v>679.67999267578125</v>
      </c>
      <c r="C29">
        <v>6.879739399945471E-3</v>
      </c>
      <c r="D29">
        <v>1.4329365079365081E-4</v>
      </c>
      <c r="E29">
        <v>6.7364457491518202E-3</v>
      </c>
    </row>
    <row r="31" spans="1:5" x14ac:dyDescent="0.3">
      <c r="B31" s="5"/>
    </row>
    <row r="33" spans="2:2" x14ac:dyDescent="0.3">
      <c r="B33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2"/>
  <sheetViews>
    <sheetView workbookViewId="0">
      <selection activeCell="M28" sqref="M28"/>
    </sheetView>
  </sheetViews>
  <sheetFormatPr defaultRowHeight="14.4" x14ac:dyDescent="0.3"/>
  <cols>
    <col min="2" max="2" width="10.109375" bestFit="1" customWidth="1"/>
    <col min="3" max="3" width="11" bestFit="1" customWidth="1"/>
    <col min="5" max="5" width="11.33203125" bestFit="1" customWidth="1"/>
    <col min="6" max="6" width="8.33203125" bestFit="1" customWidth="1"/>
    <col min="7" max="7" width="10.44140625" bestFit="1" customWidth="1"/>
    <col min="9" max="9" width="13.109375" bestFit="1" customWidth="1"/>
    <col min="11" max="11" width="18.6640625" bestFit="1" customWidth="1"/>
    <col min="13" max="13" width="18.77734375" bestFit="1" customWidth="1"/>
    <col min="15" max="15" width="18.77734375" bestFit="1" customWidth="1"/>
  </cols>
  <sheetData>
    <row r="2" spans="1:16" x14ac:dyDescent="0.3">
      <c r="A2" s="11" t="s">
        <v>40</v>
      </c>
      <c r="B2" s="11"/>
      <c r="C2" s="11"/>
      <c r="D2" s="11"/>
      <c r="E2" s="11"/>
      <c r="F2" s="11"/>
      <c r="G2" s="11"/>
      <c r="H2" s="11"/>
      <c r="I2" s="11"/>
    </row>
    <row r="3" spans="1:16" x14ac:dyDescent="0.3">
      <c r="A3" s="11"/>
      <c r="B3" s="11"/>
      <c r="C3" s="11"/>
      <c r="D3" s="11"/>
      <c r="E3" s="11"/>
      <c r="F3" s="11"/>
      <c r="G3" s="11"/>
      <c r="H3" s="11"/>
      <c r="I3" s="11"/>
    </row>
    <row r="4" spans="1:16" x14ac:dyDescent="0.3">
      <c r="A4" s="6" t="s">
        <v>8</v>
      </c>
      <c r="B4" s="6" t="s">
        <v>4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36</v>
      </c>
      <c r="H4" s="6" t="s">
        <v>37</v>
      </c>
      <c r="I4" s="1" t="s">
        <v>3</v>
      </c>
      <c r="K4" s="14" t="s">
        <v>40</v>
      </c>
      <c r="L4" s="14"/>
      <c r="M4" s="14" t="s">
        <v>56</v>
      </c>
      <c r="N4" s="14"/>
      <c r="O4" s="14" t="s">
        <v>58</v>
      </c>
      <c r="P4" s="14"/>
    </row>
    <row r="5" spans="1:16" x14ac:dyDescent="0.3">
      <c r="A5" s="6">
        <v>21</v>
      </c>
      <c r="B5" s="6" t="s">
        <v>13</v>
      </c>
      <c r="C5" s="6" t="s">
        <v>14</v>
      </c>
      <c r="D5" s="6" t="s">
        <v>15</v>
      </c>
      <c r="E5" s="9">
        <v>89636.99</v>
      </c>
      <c r="F5" s="7">
        <v>-0.1036</v>
      </c>
      <c r="G5" s="4">
        <f t="shared" ref="G5:G30" si="0">LN(E5/E6)</f>
        <v>-3.6710556024553052E-2</v>
      </c>
      <c r="H5">
        <v>1.4329365079365081E-4</v>
      </c>
      <c r="I5" s="10">
        <f>G5-H5</f>
        <v>-3.6853849675346703E-2</v>
      </c>
      <c r="K5" s="14"/>
      <c r="L5" s="14"/>
      <c r="M5" s="14"/>
      <c r="N5" s="14"/>
      <c r="O5" s="14"/>
      <c r="P5" s="14"/>
    </row>
    <row r="6" spans="1:16" x14ac:dyDescent="0.3">
      <c r="A6" s="6">
        <v>20</v>
      </c>
      <c r="B6" s="8">
        <v>46002</v>
      </c>
      <c r="C6" s="6" t="s">
        <v>14</v>
      </c>
      <c r="D6" s="6" t="s">
        <v>15</v>
      </c>
      <c r="E6" s="9">
        <v>92988.76</v>
      </c>
      <c r="F6" s="7">
        <v>-7.0099999999999996E-2</v>
      </c>
      <c r="G6" s="4">
        <f t="shared" si="0"/>
        <v>4.7035469751555347E-3</v>
      </c>
      <c r="H6">
        <v>1.4329365079365081E-4</v>
      </c>
      <c r="I6" s="10">
        <f t="shared" ref="I6:I32" si="1">G6-H6</f>
        <v>4.5602533243618839E-3</v>
      </c>
      <c r="K6" s="15" t="s">
        <v>41</v>
      </c>
      <c r="L6" s="16">
        <f>AVERAGE(I5:I32)</f>
        <v>-4.0505120928874616E-3</v>
      </c>
      <c r="M6" s="15" t="s">
        <v>41</v>
      </c>
      <c r="N6" s="15">
        <f>AVERAGE(I43:I52)</f>
        <v>2.2168191814418876E-3</v>
      </c>
      <c r="O6" s="15" t="s">
        <v>57</v>
      </c>
      <c r="P6" s="15">
        <f>SPY!H3</f>
        <v>6.6930420269404375E-4</v>
      </c>
    </row>
    <row r="7" spans="1:16" x14ac:dyDescent="0.3">
      <c r="A7" s="6">
        <v>20</v>
      </c>
      <c r="B7" s="8">
        <v>45972</v>
      </c>
      <c r="C7" s="6" t="s">
        <v>16</v>
      </c>
      <c r="D7" s="6" t="s">
        <v>15</v>
      </c>
      <c r="E7" s="9">
        <v>92552.41</v>
      </c>
      <c r="F7" s="7">
        <v>-7.4499999999999997E-2</v>
      </c>
      <c r="G7" s="4">
        <f t="shared" si="0"/>
        <v>-1.6324486069827067E-2</v>
      </c>
      <c r="H7">
        <v>1.4329365079365081E-4</v>
      </c>
      <c r="I7" s="10">
        <f t="shared" si="1"/>
        <v>-1.6467779720620718E-2</v>
      </c>
      <c r="K7" s="15" t="s">
        <v>38</v>
      </c>
      <c r="L7" s="15">
        <f>_xlfn.STDEV.S(I5:I32)</f>
        <v>1.0286731345324146E-2</v>
      </c>
      <c r="M7" s="15" t="s">
        <v>38</v>
      </c>
      <c r="N7" s="15">
        <f>_xlfn.STDEV.S(I43:I52)</f>
        <v>3.5412013000408187E-2</v>
      </c>
      <c r="O7" s="15" t="s">
        <v>38</v>
      </c>
      <c r="P7" s="15">
        <f>SPY!H4</f>
        <v>8.9263396904550405E-3</v>
      </c>
    </row>
    <row r="8" spans="1:16" x14ac:dyDescent="0.3">
      <c r="A8" s="6">
        <v>19</v>
      </c>
      <c r="B8" s="8">
        <v>45941</v>
      </c>
      <c r="C8" s="6" t="s">
        <v>15</v>
      </c>
      <c r="D8" s="6" t="s">
        <v>15</v>
      </c>
      <c r="E8" s="9">
        <v>94075.68</v>
      </c>
      <c r="F8" s="7">
        <v>-5.9200000000000003E-2</v>
      </c>
      <c r="G8" s="4">
        <f t="shared" si="0"/>
        <v>-1.5498899316045501E-3</v>
      </c>
      <c r="H8">
        <v>1.4329365079365081E-4</v>
      </c>
      <c r="I8" s="10">
        <f t="shared" si="1"/>
        <v>-1.6931835823982009E-3</v>
      </c>
      <c r="K8" s="17" t="s">
        <v>39</v>
      </c>
      <c r="L8" s="17">
        <f>L6/L7</f>
        <v>-0.39376085142231598</v>
      </c>
      <c r="M8" s="17" t="s">
        <v>39</v>
      </c>
      <c r="N8" s="17">
        <f>N6/N7</f>
        <v>6.2600767186444181E-2</v>
      </c>
      <c r="O8" s="17" t="s">
        <v>7</v>
      </c>
      <c r="P8" s="17">
        <f>SPY!H5</f>
        <v>7.4980812505906824E-2</v>
      </c>
    </row>
    <row r="9" spans="1:16" x14ac:dyDescent="0.3">
      <c r="A9" s="6">
        <v>18</v>
      </c>
      <c r="B9" s="8">
        <v>45911</v>
      </c>
      <c r="C9" s="6" t="s">
        <v>17</v>
      </c>
      <c r="D9" s="6" t="s">
        <v>15</v>
      </c>
      <c r="E9" s="9">
        <v>94221.6</v>
      </c>
      <c r="F9" s="7">
        <v>-5.7799999999999997E-2</v>
      </c>
      <c r="G9" s="4">
        <f t="shared" si="0"/>
        <v>0</v>
      </c>
      <c r="H9">
        <v>1.4329365079365081E-4</v>
      </c>
      <c r="I9" s="10">
        <f t="shared" si="1"/>
        <v>-1.4329365079365081E-4</v>
      </c>
    </row>
    <row r="10" spans="1:16" x14ac:dyDescent="0.3">
      <c r="A10" s="6">
        <v>18</v>
      </c>
      <c r="B10" s="8">
        <v>45880</v>
      </c>
      <c r="C10" s="6" t="s">
        <v>17</v>
      </c>
      <c r="D10" s="6" t="s">
        <v>15</v>
      </c>
      <c r="E10" s="9">
        <v>94221.6</v>
      </c>
      <c r="F10" s="7">
        <v>-5.7799999999999997E-2</v>
      </c>
      <c r="G10" s="4">
        <f t="shared" si="0"/>
        <v>0</v>
      </c>
      <c r="H10">
        <v>1.4329365079365081E-4</v>
      </c>
      <c r="I10" s="10">
        <f t="shared" si="1"/>
        <v>-1.4329365079365081E-4</v>
      </c>
    </row>
    <row r="11" spans="1:16" x14ac:dyDescent="0.3">
      <c r="A11" s="6">
        <v>18</v>
      </c>
      <c r="B11" s="8">
        <v>45849</v>
      </c>
      <c r="C11" s="6" t="s">
        <v>17</v>
      </c>
      <c r="D11" s="6" t="s">
        <v>15</v>
      </c>
      <c r="E11" s="9">
        <v>94221.6</v>
      </c>
      <c r="F11" s="7">
        <v>-5.7799999999999997E-2</v>
      </c>
      <c r="G11" s="4">
        <f t="shared" si="0"/>
        <v>-3.4473860995561267E-2</v>
      </c>
      <c r="H11">
        <v>1.4329365079365081E-4</v>
      </c>
      <c r="I11" s="10">
        <f t="shared" si="1"/>
        <v>-3.4617154646354918E-2</v>
      </c>
    </row>
    <row r="12" spans="1:16" x14ac:dyDescent="0.3">
      <c r="A12" s="6">
        <v>14</v>
      </c>
      <c r="B12" s="8">
        <v>45819</v>
      </c>
      <c r="C12" s="6" t="s">
        <v>18</v>
      </c>
      <c r="D12" s="6" t="s">
        <v>15</v>
      </c>
      <c r="E12" s="9">
        <v>97526.42</v>
      </c>
      <c r="F12" s="7">
        <v>-2.47E-2</v>
      </c>
      <c r="G12" s="4">
        <f t="shared" si="0"/>
        <v>0</v>
      </c>
      <c r="H12">
        <v>1.4329365079365081E-4</v>
      </c>
      <c r="I12" s="10">
        <f t="shared" si="1"/>
        <v>-1.4329365079365081E-4</v>
      </c>
    </row>
    <row r="13" spans="1:16" x14ac:dyDescent="0.3">
      <c r="A13" s="6">
        <v>17</v>
      </c>
      <c r="B13" s="8">
        <v>45788</v>
      </c>
      <c r="C13" s="6" t="s">
        <v>18</v>
      </c>
      <c r="D13" s="6" t="s">
        <v>15</v>
      </c>
      <c r="E13" s="9">
        <v>97526.42</v>
      </c>
      <c r="F13" s="7">
        <v>-2.47E-2</v>
      </c>
      <c r="G13" s="4">
        <f t="shared" si="0"/>
        <v>-4.0466001480333469E-3</v>
      </c>
      <c r="H13">
        <v>1.4329365079365081E-4</v>
      </c>
      <c r="I13" s="10">
        <f t="shared" si="1"/>
        <v>-4.1898937988269977E-3</v>
      </c>
    </row>
    <row r="14" spans="1:16" x14ac:dyDescent="0.3">
      <c r="A14" s="6">
        <v>14</v>
      </c>
      <c r="B14" s="8">
        <v>45758</v>
      </c>
      <c r="C14" s="6" t="s">
        <v>19</v>
      </c>
      <c r="D14" s="6" t="s">
        <v>15</v>
      </c>
      <c r="E14" s="9">
        <v>97921.87</v>
      </c>
      <c r="F14" s="7">
        <v>-2.0799999999999999E-2</v>
      </c>
      <c r="G14" s="4">
        <f t="shared" si="0"/>
        <v>0</v>
      </c>
      <c r="H14">
        <v>1.4329365079365081E-4</v>
      </c>
      <c r="I14" s="10">
        <f t="shared" si="1"/>
        <v>-1.4329365079365081E-4</v>
      </c>
    </row>
    <row r="15" spans="1:16" x14ac:dyDescent="0.3">
      <c r="A15" s="6">
        <v>15</v>
      </c>
      <c r="B15" s="8">
        <v>45727</v>
      </c>
      <c r="C15" s="6" t="s">
        <v>19</v>
      </c>
      <c r="D15" s="6" t="s">
        <v>15</v>
      </c>
      <c r="E15" s="9">
        <v>97921.87</v>
      </c>
      <c r="F15" s="7">
        <v>-2.0799999999999999E-2</v>
      </c>
      <c r="G15" s="4">
        <f t="shared" si="0"/>
        <v>-2.1000270184202825E-2</v>
      </c>
      <c r="H15">
        <v>1.4329365079365081E-4</v>
      </c>
      <c r="I15" s="10">
        <f t="shared" si="1"/>
        <v>-2.1143563834996475E-2</v>
      </c>
    </row>
    <row r="16" spans="1:16" x14ac:dyDescent="0.3">
      <c r="A16" s="6">
        <v>0</v>
      </c>
      <c r="B16" s="8">
        <v>45699</v>
      </c>
      <c r="C16" s="6" t="s">
        <v>20</v>
      </c>
      <c r="D16" s="6" t="s">
        <v>15</v>
      </c>
      <c r="E16" s="9">
        <v>100000</v>
      </c>
      <c r="F16" s="7">
        <v>0</v>
      </c>
      <c r="G16" s="4">
        <f t="shared" si="0"/>
        <v>0</v>
      </c>
      <c r="H16">
        <v>1.4329365079365081E-4</v>
      </c>
      <c r="I16" s="10">
        <f t="shared" si="1"/>
        <v>-1.4329365079365081E-4</v>
      </c>
    </row>
    <row r="17" spans="1:9" x14ac:dyDescent="0.3">
      <c r="A17" s="6">
        <v>0</v>
      </c>
      <c r="B17" s="8">
        <v>45668</v>
      </c>
      <c r="C17" s="6" t="s">
        <v>20</v>
      </c>
      <c r="D17" s="6" t="s">
        <v>15</v>
      </c>
      <c r="E17" s="9">
        <v>100000</v>
      </c>
      <c r="F17" s="7">
        <v>0</v>
      </c>
      <c r="G17" s="4">
        <f t="shared" si="0"/>
        <v>0</v>
      </c>
      <c r="H17">
        <v>1.4329365079365081E-4</v>
      </c>
      <c r="I17" s="10">
        <f t="shared" si="1"/>
        <v>-1.4329365079365081E-4</v>
      </c>
    </row>
    <row r="18" spans="1:9" x14ac:dyDescent="0.3">
      <c r="A18" s="6">
        <v>0</v>
      </c>
      <c r="B18" s="6" t="s">
        <v>21</v>
      </c>
      <c r="C18" s="6" t="s">
        <v>20</v>
      </c>
      <c r="D18" s="6" t="s">
        <v>15</v>
      </c>
      <c r="E18" s="9">
        <v>100000</v>
      </c>
      <c r="F18" s="7">
        <v>0</v>
      </c>
      <c r="G18" s="4">
        <f t="shared" si="0"/>
        <v>0</v>
      </c>
      <c r="H18">
        <v>1.4329365079365081E-4</v>
      </c>
      <c r="I18" s="10">
        <f t="shared" si="1"/>
        <v>-1.4329365079365081E-4</v>
      </c>
    </row>
    <row r="19" spans="1:9" x14ac:dyDescent="0.3">
      <c r="A19" s="6">
        <v>0</v>
      </c>
      <c r="B19" s="6" t="s">
        <v>22</v>
      </c>
      <c r="C19" s="6" t="s">
        <v>20</v>
      </c>
      <c r="D19" s="6" t="s">
        <v>15</v>
      </c>
      <c r="E19" s="9">
        <v>100000</v>
      </c>
      <c r="F19" s="7">
        <v>0</v>
      </c>
      <c r="G19" s="4">
        <f t="shared" si="0"/>
        <v>0</v>
      </c>
      <c r="H19">
        <v>1.4329365079365081E-4</v>
      </c>
      <c r="I19" s="10">
        <f t="shared" si="1"/>
        <v>-1.4329365079365081E-4</v>
      </c>
    </row>
    <row r="20" spans="1:9" x14ac:dyDescent="0.3">
      <c r="A20" s="6">
        <v>0</v>
      </c>
      <c r="B20" s="6" t="s">
        <v>23</v>
      </c>
      <c r="C20" s="6" t="s">
        <v>20</v>
      </c>
      <c r="D20" s="6" t="s">
        <v>15</v>
      </c>
      <c r="E20" s="9">
        <v>100000</v>
      </c>
      <c r="F20" s="7">
        <v>0</v>
      </c>
      <c r="G20" s="4">
        <f t="shared" si="0"/>
        <v>0</v>
      </c>
      <c r="H20">
        <v>1.4329365079365081E-4</v>
      </c>
      <c r="I20" s="10">
        <f t="shared" si="1"/>
        <v>-1.4329365079365081E-4</v>
      </c>
    </row>
    <row r="21" spans="1:9" x14ac:dyDescent="0.3">
      <c r="A21" s="6">
        <v>0</v>
      </c>
      <c r="B21" s="6" t="s">
        <v>24</v>
      </c>
      <c r="C21" s="6" t="s">
        <v>20</v>
      </c>
      <c r="D21" s="6" t="s">
        <v>15</v>
      </c>
      <c r="E21" s="9">
        <v>100000</v>
      </c>
      <c r="F21" s="7">
        <v>0</v>
      </c>
      <c r="G21" s="4">
        <f t="shared" si="0"/>
        <v>0</v>
      </c>
      <c r="H21">
        <v>1.4329365079365081E-4</v>
      </c>
      <c r="I21" s="10">
        <f t="shared" si="1"/>
        <v>-1.4329365079365081E-4</v>
      </c>
    </row>
    <row r="22" spans="1:9" x14ac:dyDescent="0.3">
      <c r="A22" s="6">
        <v>0</v>
      </c>
      <c r="B22" s="6" t="s">
        <v>25</v>
      </c>
      <c r="C22" s="6" t="s">
        <v>20</v>
      </c>
      <c r="D22" s="6" t="s">
        <v>15</v>
      </c>
      <c r="E22" s="9">
        <v>100000</v>
      </c>
      <c r="F22" s="7">
        <v>0</v>
      </c>
      <c r="G22" s="4">
        <f t="shared" si="0"/>
        <v>0</v>
      </c>
      <c r="H22">
        <v>1.4329365079365081E-4</v>
      </c>
      <c r="I22" s="10">
        <f t="shared" si="1"/>
        <v>-1.4329365079365081E-4</v>
      </c>
    </row>
    <row r="23" spans="1:9" x14ac:dyDescent="0.3">
      <c r="A23" s="6">
        <v>0</v>
      </c>
      <c r="B23" s="6" t="s">
        <v>26</v>
      </c>
      <c r="C23" s="6" t="s">
        <v>20</v>
      </c>
      <c r="D23" s="6" t="s">
        <v>15</v>
      </c>
      <c r="E23" s="9">
        <v>100000</v>
      </c>
      <c r="F23" s="7">
        <v>0</v>
      </c>
      <c r="G23" s="4">
        <f t="shared" si="0"/>
        <v>0</v>
      </c>
      <c r="H23">
        <v>1.4329365079365081E-4</v>
      </c>
      <c r="I23" s="10">
        <f t="shared" si="1"/>
        <v>-1.4329365079365081E-4</v>
      </c>
    </row>
    <row r="24" spans="1:9" x14ac:dyDescent="0.3">
      <c r="A24" s="6">
        <v>0</v>
      </c>
      <c r="B24" s="6" t="s">
        <v>27</v>
      </c>
      <c r="C24" s="6" t="s">
        <v>20</v>
      </c>
      <c r="D24" s="6" t="s">
        <v>15</v>
      </c>
      <c r="E24" s="9">
        <v>100000</v>
      </c>
      <c r="F24" s="7">
        <v>0</v>
      </c>
      <c r="G24" s="4">
        <f t="shared" si="0"/>
        <v>0</v>
      </c>
      <c r="H24">
        <v>1.4329365079365081E-4</v>
      </c>
      <c r="I24" s="10">
        <f t="shared" si="1"/>
        <v>-1.4329365079365081E-4</v>
      </c>
    </row>
    <row r="25" spans="1:9" x14ac:dyDescent="0.3">
      <c r="A25" s="6">
        <v>0</v>
      </c>
      <c r="B25" s="6" t="s">
        <v>28</v>
      </c>
      <c r="C25" s="6" t="s">
        <v>20</v>
      </c>
      <c r="D25" s="6" t="s">
        <v>15</v>
      </c>
      <c r="E25" s="9">
        <v>100000</v>
      </c>
      <c r="F25" s="7">
        <v>0</v>
      </c>
      <c r="G25" s="4">
        <f t="shared" si="0"/>
        <v>0</v>
      </c>
      <c r="H25">
        <v>1.4329365079365081E-4</v>
      </c>
      <c r="I25" s="10">
        <f t="shared" si="1"/>
        <v>-1.4329365079365081E-4</v>
      </c>
    </row>
    <row r="26" spans="1:9" x14ac:dyDescent="0.3">
      <c r="A26" s="6">
        <v>0</v>
      </c>
      <c r="B26" s="6" t="s">
        <v>29</v>
      </c>
      <c r="C26" s="6" t="s">
        <v>20</v>
      </c>
      <c r="D26" s="6" t="s">
        <v>15</v>
      </c>
      <c r="E26" s="9">
        <v>100000</v>
      </c>
      <c r="F26" s="7">
        <v>0</v>
      </c>
      <c r="G26" s="4">
        <f t="shared" si="0"/>
        <v>0</v>
      </c>
      <c r="H26">
        <v>1.4329365079365081E-4</v>
      </c>
      <c r="I26" s="10">
        <f t="shared" si="1"/>
        <v>-1.4329365079365081E-4</v>
      </c>
    </row>
    <row r="27" spans="1:9" x14ac:dyDescent="0.3">
      <c r="A27" s="6">
        <v>0</v>
      </c>
      <c r="B27" s="6" t="s">
        <v>30</v>
      </c>
      <c r="C27" s="6" t="s">
        <v>20</v>
      </c>
      <c r="D27" s="6" t="s">
        <v>15</v>
      </c>
      <c r="E27" s="9">
        <v>100000</v>
      </c>
      <c r="F27" s="7">
        <v>0</v>
      </c>
      <c r="G27" s="4">
        <f t="shared" si="0"/>
        <v>0</v>
      </c>
      <c r="H27">
        <v>1.4329365079365081E-4</v>
      </c>
      <c r="I27" s="10">
        <f t="shared" si="1"/>
        <v>-1.4329365079365081E-4</v>
      </c>
    </row>
    <row r="28" spans="1:9" x14ac:dyDescent="0.3">
      <c r="A28" s="6">
        <v>0</v>
      </c>
      <c r="B28" s="6" t="s">
        <v>31</v>
      </c>
      <c r="C28" s="6" t="s">
        <v>20</v>
      </c>
      <c r="D28" s="6" t="s">
        <v>15</v>
      </c>
      <c r="E28" s="9">
        <v>100000</v>
      </c>
      <c r="F28" s="7">
        <v>0</v>
      </c>
      <c r="G28" s="4">
        <f t="shared" si="0"/>
        <v>0</v>
      </c>
      <c r="H28">
        <v>1.4329365079365081E-4</v>
      </c>
      <c r="I28" s="10">
        <f t="shared" si="1"/>
        <v>-1.4329365079365081E-4</v>
      </c>
    </row>
    <row r="29" spans="1:9" x14ac:dyDescent="0.3">
      <c r="A29" s="6">
        <v>0</v>
      </c>
      <c r="B29" s="6" t="s">
        <v>32</v>
      </c>
      <c r="C29" s="6" t="s">
        <v>20</v>
      </c>
      <c r="D29" s="6" t="s">
        <v>15</v>
      </c>
      <c r="E29" s="9">
        <v>100000</v>
      </c>
      <c r="F29" s="7">
        <v>0</v>
      </c>
      <c r="G29" s="4">
        <f t="shared" si="0"/>
        <v>0</v>
      </c>
      <c r="H29">
        <v>1.4329365079365081E-4</v>
      </c>
      <c r="I29" s="10">
        <f t="shared" si="1"/>
        <v>-1.4329365079365081E-4</v>
      </c>
    </row>
    <row r="30" spans="1:9" x14ac:dyDescent="0.3">
      <c r="A30" s="6">
        <v>0</v>
      </c>
      <c r="B30" s="6" t="s">
        <v>33</v>
      </c>
      <c r="C30" s="6" t="s">
        <v>20</v>
      </c>
      <c r="D30" s="6" t="s">
        <v>15</v>
      </c>
      <c r="E30" s="9">
        <v>100000</v>
      </c>
      <c r="F30" s="7">
        <v>0</v>
      </c>
      <c r="G30" s="4">
        <f t="shared" si="0"/>
        <v>0</v>
      </c>
      <c r="H30">
        <v>1.4329365079365081E-4</v>
      </c>
      <c r="I30" s="10">
        <f t="shared" si="1"/>
        <v>-1.4329365079365081E-4</v>
      </c>
    </row>
    <row r="31" spans="1:9" x14ac:dyDescent="0.3">
      <c r="A31" s="6">
        <v>0</v>
      </c>
      <c r="B31" s="6" t="s">
        <v>34</v>
      </c>
      <c r="C31" s="6" t="s">
        <v>20</v>
      </c>
      <c r="D31" s="6" t="s">
        <v>15</v>
      </c>
      <c r="E31" s="9">
        <v>100000</v>
      </c>
      <c r="F31" s="7">
        <v>0</v>
      </c>
      <c r="G31" s="4">
        <f>LN(E31/E32)</f>
        <v>0</v>
      </c>
      <c r="H31">
        <v>1.4329365079365081E-4</v>
      </c>
      <c r="I31" s="10">
        <f t="shared" si="1"/>
        <v>-1.4329365079365081E-4</v>
      </c>
    </row>
    <row r="32" spans="1:9" x14ac:dyDescent="0.3">
      <c r="A32" s="6">
        <v>0</v>
      </c>
      <c r="B32" s="6" t="s">
        <v>35</v>
      </c>
      <c r="C32" s="6" t="s">
        <v>20</v>
      </c>
      <c r="D32" s="6" t="s">
        <v>15</v>
      </c>
      <c r="E32" s="9">
        <v>100000</v>
      </c>
      <c r="F32" s="7">
        <v>0</v>
      </c>
      <c r="H32">
        <v>1.4329365079365081E-4</v>
      </c>
      <c r="I32" s="10">
        <f t="shared" si="1"/>
        <v>-1.4329365079365081E-4</v>
      </c>
    </row>
    <row r="34" spans="1:9" x14ac:dyDescent="0.3">
      <c r="A34" s="13" t="s">
        <v>42</v>
      </c>
      <c r="B34" s="13"/>
      <c r="C34" s="13"/>
      <c r="D34" s="13"/>
      <c r="E34" s="13"/>
      <c r="F34" s="13"/>
      <c r="G34" s="13"/>
      <c r="H34" s="13"/>
      <c r="I34" s="13"/>
    </row>
    <row r="35" spans="1:9" x14ac:dyDescent="0.3">
      <c r="A35" s="13"/>
      <c r="B35" s="13"/>
      <c r="C35" s="13"/>
      <c r="D35" s="13"/>
      <c r="E35" s="13"/>
      <c r="F35" s="13"/>
      <c r="G35" s="13"/>
      <c r="H35" s="13"/>
      <c r="I35" s="13"/>
    </row>
    <row r="39" spans="1:9" ht="14.4" customHeight="1" x14ac:dyDescent="0.3">
      <c r="A39" s="11" t="s">
        <v>56</v>
      </c>
      <c r="B39" s="11"/>
      <c r="C39" s="11"/>
      <c r="D39" s="11"/>
      <c r="E39" s="11"/>
      <c r="F39" s="11"/>
      <c r="G39" s="11"/>
      <c r="H39" s="11"/>
      <c r="I39" s="11"/>
    </row>
    <row r="40" spans="1:9" ht="14.4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</row>
    <row r="41" spans="1:9" ht="21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</row>
    <row r="42" spans="1:9" x14ac:dyDescent="0.3">
      <c r="A42" t="s">
        <v>8</v>
      </c>
      <c r="B42" t="s">
        <v>4</v>
      </c>
      <c r="C42" t="s">
        <v>9</v>
      </c>
      <c r="D42" t="s">
        <v>10</v>
      </c>
      <c r="E42" t="s">
        <v>11</v>
      </c>
      <c r="F42" t="s">
        <v>12</v>
      </c>
      <c r="G42" s="6" t="s">
        <v>36</v>
      </c>
      <c r="H42" s="6" t="s">
        <v>37</v>
      </c>
      <c r="I42" s="1" t="s">
        <v>3</v>
      </c>
    </row>
    <row r="43" spans="1:9" x14ac:dyDescent="0.3">
      <c r="A43">
        <v>2</v>
      </c>
      <c r="B43" t="s">
        <v>43</v>
      </c>
      <c r="C43" t="s">
        <v>44</v>
      </c>
      <c r="D43" t="s">
        <v>15</v>
      </c>
      <c r="E43" s="4">
        <v>101759.93</v>
      </c>
      <c r="F43" s="3">
        <v>1.7600000000000001E-2</v>
      </c>
      <c r="G43">
        <f t="shared" ref="G43:G50" si="2">LN(E43/E44)</f>
        <v>0</v>
      </c>
      <c r="H43">
        <v>1.4329365079365081E-4</v>
      </c>
      <c r="I43">
        <f>G43-H43</f>
        <v>-1.4329365079365081E-4</v>
      </c>
    </row>
    <row r="44" spans="1:9" x14ac:dyDescent="0.3">
      <c r="A44">
        <v>2</v>
      </c>
      <c r="B44" t="s">
        <v>45</v>
      </c>
      <c r="C44" t="s">
        <v>44</v>
      </c>
      <c r="D44" t="s">
        <v>15</v>
      </c>
      <c r="E44" s="4">
        <v>101759.93</v>
      </c>
      <c r="F44" s="3">
        <v>1.7600000000000001E-2</v>
      </c>
      <c r="G44">
        <f t="shared" si="2"/>
        <v>0</v>
      </c>
      <c r="H44">
        <v>1.4329365079365081E-4</v>
      </c>
      <c r="I44">
        <f t="shared" ref="I44:I52" si="3">G44-H44</f>
        <v>-1.4329365079365081E-4</v>
      </c>
    </row>
    <row r="45" spans="1:9" x14ac:dyDescent="0.3">
      <c r="A45">
        <v>2</v>
      </c>
      <c r="B45" t="s">
        <v>46</v>
      </c>
      <c r="C45" t="s">
        <v>44</v>
      </c>
      <c r="D45" t="s">
        <v>15</v>
      </c>
      <c r="E45" s="4">
        <v>101759.93</v>
      </c>
      <c r="F45" s="3">
        <v>1.7600000000000001E-2</v>
      </c>
      <c r="G45">
        <f t="shared" si="2"/>
        <v>6.6116857024170639E-2</v>
      </c>
      <c r="H45">
        <v>1.4329365079365081E-4</v>
      </c>
      <c r="I45">
        <f t="shared" si="3"/>
        <v>6.5973563373376981E-2</v>
      </c>
    </row>
    <row r="46" spans="1:9" x14ac:dyDescent="0.3">
      <c r="A46">
        <v>5</v>
      </c>
      <c r="B46" t="s">
        <v>47</v>
      </c>
      <c r="C46" t="s">
        <v>48</v>
      </c>
      <c r="D46" t="s">
        <v>15</v>
      </c>
      <c r="E46" s="4">
        <v>95249.48</v>
      </c>
      <c r="F46" s="3">
        <v>-4.7500000000000001E-2</v>
      </c>
      <c r="G46">
        <f t="shared" si="2"/>
        <v>-7.6821160851235054E-2</v>
      </c>
      <c r="H46">
        <v>1.4329365079365081E-4</v>
      </c>
      <c r="I46">
        <f t="shared" si="3"/>
        <v>-7.6964454502028712E-2</v>
      </c>
    </row>
    <row r="47" spans="1:9" x14ac:dyDescent="0.3">
      <c r="A47">
        <v>1</v>
      </c>
      <c r="B47" t="s">
        <v>49</v>
      </c>
      <c r="C47" t="s">
        <v>48</v>
      </c>
      <c r="D47" t="s">
        <v>15</v>
      </c>
      <c r="E47" s="4">
        <v>102855.05</v>
      </c>
      <c r="F47" s="3">
        <v>2.86E-2</v>
      </c>
      <c r="G47">
        <f t="shared" si="2"/>
        <v>0</v>
      </c>
      <c r="H47">
        <v>1.4329365079365081E-4</v>
      </c>
      <c r="I47">
        <f t="shared" si="3"/>
        <v>-1.4329365079365081E-4</v>
      </c>
    </row>
    <row r="48" spans="1:9" x14ac:dyDescent="0.3">
      <c r="A48">
        <v>1</v>
      </c>
      <c r="B48" t="s">
        <v>50</v>
      </c>
      <c r="C48" t="s">
        <v>48</v>
      </c>
      <c r="D48" t="s">
        <v>15</v>
      </c>
      <c r="E48" s="4">
        <v>102855.05</v>
      </c>
      <c r="F48" s="3">
        <v>2.86E-2</v>
      </c>
      <c r="G48">
        <f t="shared" si="2"/>
        <v>0</v>
      </c>
      <c r="H48">
        <v>1.4329365079365081E-4</v>
      </c>
      <c r="I48">
        <f t="shared" si="3"/>
        <v>-1.4329365079365081E-4</v>
      </c>
    </row>
    <row r="49" spans="1:9" x14ac:dyDescent="0.3">
      <c r="A49">
        <v>1</v>
      </c>
      <c r="B49" t="s">
        <v>51</v>
      </c>
      <c r="C49" t="s">
        <v>48</v>
      </c>
      <c r="D49" t="s">
        <v>15</v>
      </c>
      <c r="E49" s="4">
        <v>102855.05</v>
      </c>
      <c r="F49" s="3">
        <v>2.86E-2</v>
      </c>
      <c r="G49">
        <f t="shared" si="2"/>
        <v>-7.1899730183080371E-3</v>
      </c>
      <c r="H49">
        <v>1.4329365079365081E-4</v>
      </c>
      <c r="I49">
        <f t="shared" si="3"/>
        <v>-7.3332666691016879E-3</v>
      </c>
    </row>
    <row r="50" spans="1:9" x14ac:dyDescent="0.3">
      <c r="A50">
        <v>1</v>
      </c>
      <c r="B50" t="s">
        <v>52</v>
      </c>
      <c r="C50" t="s">
        <v>53</v>
      </c>
      <c r="D50" t="s">
        <v>15</v>
      </c>
      <c r="E50" s="4">
        <v>103597.24</v>
      </c>
      <c r="F50" s="3">
        <v>3.5999999999999997E-2</v>
      </c>
      <c r="G50">
        <f t="shared" si="2"/>
        <v>2.9586190411870324E-2</v>
      </c>
      <c r="H50">
        <v>1.4329365079365081E-4</v>
      </c>
      <c r="I50">
        <f t="shared" si="3"/>
        <v>2.9442896761076674E-2</v>
      </c>
    </row>
    <row r="51" spans="1:9" x14ac:dyDescent="0.3">
      <c r="A51">
        <v>1</v>
      </c>
      <c r="B51" t="s">
        <v>54</v>
      </c>
      <c r="C51" t="s">
        <v>15</v>
      </c>
      <c r="D51" t="s">
        <v>15</v>
      </c>
      <c r="E51" s="4">
        <v>100577.09</v>
      </c>
      <c r="F51" s="3">
        <v>5.7999999999999996E-3</v>
      </c>
      <c r="G51">
        <f>LN(E51/E52)</f>
        <v>1.1909214755857527E-2</v>
      </c>
      <c r="H51">
        <v>1.4329365079365081E-4</v>
      </c>
      <c r="I51">
        <f t="shared" si="3"/>
        <v>1.1765921105063876E-2</v>
      </c>
    </row>
    <row r="52" spans="1:9" x14ac:dyDescent="0.3">
      <c r="A52">
        <v>3</v>
      </c>
      <c r="B52" t="s">
        <v>55</v>
      </c>
      <c r="C52" t="s">
        <v>15</v>
      </c>
      <c r="D52" t="s">
        <v>15</v>
      </c>
      <c r="E52" s="4">
        <v>99386.4</v>
      </c>
      <c r="F52" s="3">
        <v>-6.1000000000000004E-3</v>
      </c>
      <c r="H52">
        <v>1.4329365079365081E-4</v>
      </c>
      <c r="I52">
        <f t="shared" si="3"/>
        <v>-1.4329365079365081E-4</v>
      </c>
    </row>
  </sheetData>
  <mergeCells count="5">
    <mergeCell ref="O4:P5"/>
    <mergeCell ref="A2:I3"/>
    <mergeCell ref="A39:I41"/>
    <mergeCell ref="K4:L5"/>
    <mergeCell ref="M4:N5"/>
  </mergeCells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AAPL</vt:lpstr>
      <vt:lpstr>GOOGL</vt:lpstr>
      <vt:lpstr>AVGO</vt:lpstr>
      <vt:lpstr>NVDA</vt:lpstr>
      <vt:lpstr>PLTR</vt:lpstr>
      <vt:lpstr>AMZN</vt:lpstr>
      <vt:lpstr>TSLA</vt:lpstr>
      <vt:lpstr>ORCL</vt:lpstr>
      <vt:lpstr>CELC</vt:lpstr>
      <vt:lpstr>MU</vt:lpstr>
      <vt:lpstr>AMD</vt:lpstr>
      <vt:lpstr>SPY</vt:lpstr>
      <vt:lpstr>Portfolio</vt:lpstr>
      <vt:lpstr>Portfolio!Portfolio_Performance___Nikola_Georgiev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2025-12-08T23:26:07Z</dcterms:created>
  <dcterms:modified xsi:type="dcterms:W3CDTF">2025-12-09T00:10:08Z</dcterms:modified>
</cp:coreProperties>
</file>